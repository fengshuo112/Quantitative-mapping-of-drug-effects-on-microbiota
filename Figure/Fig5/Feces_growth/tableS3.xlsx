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upplementary\Figs\Fig3\table\"/>
    </mc:Choice>
  </mc:AlternateContent>
  <xr:revisionPtr revIDLastSave="0" documentId="13_ncr:1_{87522FA4-80DE-4B76-B4AF-CE5C4685BE4F}" xr6:coauthVersionLast="47" xr6:coauthVersionMax="47" xr10:uidLastSave="{00000000-0000-0000-0000-000000000000}"/>
  <bookViews>
    <workbookView xWindow="-93" yWindow="-93" windowWidth="17253" windowHeight="10133" xr2:uid="{C7569C63-7A37-4DD5-8ED2-A9F20B7924D3}"/>
  </bookViews>
  <sheets>
    <sheet name="S3A" sheetId="8" r:id="rId1"/>
    <sheet name="S3B" sheetId="3" r:id="rId2"/>
    <sheet name="S3C" sheetId="5" r:id="rId3"/>
    <sheet name="S3D" sheetId="4" r:id="rId4"/>
    <sheet name="S3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8" l="1"/>
  <c r="H42" i="8"/>
  <c r="I42" i="8" s="1"/>
</calcChain>
</file>

<file path=xl/sharedStrings.xml><?xml version="1.0" encoding="utf-8"?>
<sst xmlns="http://schemas.openxmlformats.org/spreadsheetml/2006/main" count="1366" uniqueCount="457">
  <si>
    <t>Enasidenib</t>
  </si>
  <si>
    <t>Teriflunomide</t>
  </si>
  <si>
    <t>Mercaptopurine</t>
  </si>
  <si>
    <t>Cyclosporine</t>
  </si>
  <si>
    <t>Sirolimus</t>
  </si>
  <si>
    <t>Vildagliptin</t>
  </si>
  <si>
    <t>Canagliflozin</t>
  </si>
  <si>
    <t>Atorvastatin</t>
  </si>
  <si>
    <t>Empagliflozin</t>
  </si>
  <si>
    <t>Rivastigmine</t>
  </si>
  <si>
    <t>Tolcapone</t>
  </si>
  <si>
    <t>Levocarnitine</t>
  </si>
  <si>
    <t>Tegafur</t>
  </si>
  <si>
    <t>51-21-8</t>
  </si>
  <si>
    <t>Capecitabine</t>
  </si>
  <si>
    <t>154361-50-9</t>
  </si>
  <si>
    <t>Dapagliflozin</t>
  </si>
  <si>
    <t>461432-26-8</t>
  </si>
  <si>
    <t>Fludarabine</t>
  </si>
  <si>
    <t>21679-14-1</t>
  </si>
  <si>
    <t>Mycophenolate mofetil</t>
  </si>
  <si>
    <t>128794-94-5</t>
  </si>
  <si>
    <t>Dasatinib</t>
  </si>
  <si>
    <t>302962-49-8</t>
  </si>
  <si>
    <t>Indomethacin</t>
  </si>
  <si>
    <t>53-86-1</t>
  </si>
  <si>
    <t>Xanthinol</t>
  </si>
  <si>
    <t>2530-97-4</t>
  </si>
  <si>
    <t>Melatonin</t>
  </si>
  <si>
    <t>73-31-4</t>
  </si>
  <si>
    <t>Stiripentol</t>
  </si>
  <si>
    <t>49763-96-4</t>
  </si>
  <si>
    <t>Mycophenolic acid</t>
  </si>
  <si>
    <t>24280-93-1</t>
  </si>
  <si>
    <t>Tacrolimus</t>
  </si>
  <si>
    <t>104987-11-3</t>
  </si>
  <si>
    <t>Gimeracil</t>
  </si>
  <si>
    <t>103766-25-2</t>
  </si>
  <si>
    <t>Lacosamide</t>
  </si>
  <si>
    <t>175481-36-4</t>
  </si>
  <si>
    <t>Bendroflumethiazide</t>
  </si>
  <si>
    <t>73-48-3</t>
  </si>
  <si>
    <t>Guanidine</t>
  </si>
  <si>
    <t>113-00-8</t>
  </si>
  <si>
    <t>Pentoxifylline</t>
  </si>
  <si>
    <t xml:space="preserve">
6493-05-6</t>
  </si>
  <si>
    <t>Entacapone</t>
  </si>
  <si>
    <t>130929-57-6</t>
  </si>
  <si>
    <t>Ursodeoxycholic acid</t>
  </si>
  <si>
    <t>128-13-2</t>
  </si>
  <si>
    <t>Chenodeoxycholic acid</t>
  </si>
  <si>
    <t>474-25-9</t>
  </si>
  <si>
    <t>Galantamine</t>
    <phoneticPr fontId="1" type="noConversion"/>
  </si>
  <si>
    <t>Valproic acid</t>
    <phoneticPr fontId="1" type="noConversion"/>
  </si>
  <si>
    <t>Fluorouracil</t>
    <phoneticPr fontId="1" type="noConversion"/>
  </si>
  <si>
    <t>Methotrexate</t>
    <phoneticPr fontId="1" type="noConversion"/>
  </si>
  <si>
    <t>CAS number</t>
    <phoneticPr fontId="1" type="noConversion"/>
  </si>
  <si>
    <t>Drug</t>
    <phoneticPr fontId="1" type="noConversion"/>
  </si>
  <si>
    <t>Molecular weight (g/mol)</t>
    <phoneticPr fontId="1" type="noConversion"/>
  </si>
  <si>
    <t>Dose (mg)</t>
    <phoneticPr fontId="1" type="noConversion"/>
  </si>
  <si>
    <t>Fraction excreted in feces</t>
    <phoneticPr fontId="1" type="noConversion"/>
  </si>
  <si>
    <t>Number</t>
    <phoneticPr fontId="1" type="noConversion"/>
  </si>
  <si>
    <t>References</t>
    <phoneticPr fontId="1" type="noConversion"/>
  </si>
  <si>
    <t>Lisa Maier et al., 2018</t>
    <phoneticPr fontId="1" type="noConversion"/>
  </si>
  <si>
    <t>Renuka R. Nayak et al., 2021; Lisa Maier et al., 2018</t>
    <phoneticPr fontId="1" type="noConversion"/>
  </si>
  <si>
    <t>Martin R. Farlow, 2003; Lisa Maier et al., 2018</t>
    <phoneticPr fontId="1" type="noConversion"/>
  </si>
  <si>
    <t>Yan Li et al., 2018; DrugBank</t>
    <phoneticPr fontId="1" type="noConversion"/>
  </si>
  <si>
    <t xml:space="preserve"> Lisa Maier et al., 2018</t>
  </si>
  <si>
    <t>DrugBank</t>
  </si>
  <si>
    <t>Leflunomide</t>
    <phoneticPr fontId="1" type="noConversion"/>
  </si>
  <si>
    <t>Metformin</t>
    <phoneticPr fontId="1" type="noConversion"/>
  </si>
  <si>
    <t>Ranitidine</t>
    <phoneticPr fontId="1" type="noConversion"/>
  </si>
  <si>
    <t>Plasma concentration (µM)</t>
    <phoneticPr fontId="1" type="noConversion"/>
  </si>
  <si>
    <t>Estimated intestine concentration (µg/ml)</t>
    <phoneticPr fontId="1" type="noConversion"/>
  </si>
  <si>
    <t>Estimated colon concentration(µg/ml)</t>
    <phoneticPr fontId="1" type="noConversion"/>
  </si>
  <si>
    <t>Screen concentration (µg/ml)</t>
    <phoneticPr fontId="1" type="noConversion"/>
  </si>
  <si>
    <t>Table S3A. Drugs and Screening Concentrations in This Study.</t>
    <phoneticPr fontId="1" type="noConversion"/>
  </si>
  <si>
    <t>Macklin</t>
  </si>
  <si>
    <t>MedChemExpress</t>
  </si>
  <si>
    <t>Yuanye Biotechnology Co., Ltd</t>
  </si>
  <si>
    <t>MedChemExpress</t>
    <phoneticPr fontId="1" type="noConversion"/>
  </si>
  <si>
    <t>Sigma-Aldrich</t>
    <phoneticPr fontId="1" type="noConversion"/>
  </si>
  <si>
    <t>Trifluridine</t>
    <phoneticPr fontId="1" type="noConversion"/>
  </si>
  <si>
    <t>Didanosine</t>
    <phoneticPr fontId="1" type="noConversion"/>
  </si>
  <si>
    <t>70-00-8</t>
  </si>
  <si>
    <t>69655-05-6</t>
  </si>
  <si>
    <t>Canagliflozin</t>
    <phoneticPr fontId="1" type="noConversion"/>
  </si>
  <si>
    <t>Atorvastatin</t>
    <phoneticPr fontId="1" type="noConversion"/>
  </si>
  <si>
    <t>134523-00-5</t>
    <phoneticPr fontId="1" type="noConversion"/>
  </si>
  <si>
    <t>Empagliflozin</t>
    <phoneticPr fontId="1" type="noConversion"/>
  </si>
  <si>
    <t>Rivastigmine</t>
    <phoneticPr fontId="1" type="noConversion"/>
  </si>
  <si>
    <t>Cyclosporine</t>
    <phoneticPr fontId="1" type="noConversion"/>
  </si>
  <si>
    <t>Mercaptopurine</t>
    <phoneticPr fontId="1" type="noConversion"/>
  </si>
  <si>
    <t>Tolcapone</t>
    <phoneticPr fontId="1" type="noConversion"/>
  </si>
  <si>
    <t>66357-35-5</t>
    <phoneticPr fontId="1" type="noConversion"/>
  </si>
  <si>
    <t>Table S3B. Drug Source.</t>
    <phoneticPr fontId="1" type="noConversion"/>
  </si>
  <si>
    <t>Drug</t>
  </si>
  <si>
    <t>Binding energy(kcal/mol)</t>
  </si>
  <si>
    <t>PPIA</t>
  </si>
  <si>
    <t>Bacteroides thetaiotaomicron</t>
  </si>
  <si>
    <t>WP_008762736.1</t>
  </si>
  <si>
    <t>WP_008655234.1</t>
  </si>
  <si>
    <t>Bifidobacterium pseudocatenulatum</t>
  </si>
  <si>
    <t>WP_022245121.1</t>
  </si>
  <si>
    <t>Prevotella intermedia</t>
  </si>
  <si>
    <t>WP_004844408.1</t>
  </si>
  <si>
    <t>Bacteroides xylanisolvens</t>
  </si>
  <si>
    <t>WP_008645252.1</t>
  </si>
  <si>
    <t>Akkermansia muciniphila</t>
  </si>
  <si>
    <t>WP_012420067.1</t>
  </si>
  <si>
    <t>WP_005902631.1</t>
  </si>
  <si>
    <t>WP_005840090.1</t>
  </si>
  <si>
    <t>Clostridium sporogenes</t>
  </si>
  <si>
    <t>WP_003495753.1</t>
  </si>
  <si>
    <t>WP_004269135.1</t>
  </si>
  <si>
    <t>Bifidobacterium adolescentis</t>
  </si>
  <si>
    <t>WP_011743363.1</t>
  </si>
  <si>
    <t>Parabacteroides johnsonii</t>
  </si>
  <si>
    <t>WP_008147887.1</t>
  </si>
  <si>
    <t>Escherichia fergusonii</t>
  </si>
  <si>
    <t>WP_000920477.1</t>
  </si>
  <si>
    <t>Bifidobacterium catenulatum</t>
  </si>
  <si>
    <t>WP_003834472.1</t>
  </si>
  <si>
    <t>Bifidobacterium angulatum</t>
  </si>
  <si>
    <t>WP_003826092.1</t>
  </si>
  <si>
    <t>Faecalibacterium prausnitzii</t>
  </si>
  <si>
    <t>WP_097785286.1</t>
  </si>
  <si>
    <t>Clostridium thermopalmarium</t>
  </si>
  <si>
    <t>WP_061857722.1</t>
  </si>
  <si>
    <t>Eubacterium barkeri</t>
  </si>
  <si>
    <t>WP_090243474.1</t>
  </si>
  <si>
    <t>Bacteroides ovatus</t>
  </si>
  <si>
    <t>WP_004299931.1</t>
  </si>
  <si>
    <t>Bifidobacterium breve</t>
  </si>
  <si>
    <t>WP_032738358.1</t>
  </si>
  <si>
    <t>Alistipes onderdonkii</t>
  </si>
  <si>
    <t>WP_022333167.1</t>
  </si>
  <si>
    <t>Parabacteroides goldsteinii</t>
  </si>
  <si>
    <t>Bacteroides fragilis</t>
  </si>
  <si>
    <t>WP_005792021.1</t>
  </si>
  <si>
    <t>ACADSB</t>
  </si>
  <si>
    <t>Valproic acid</t>
  </si>
  <si>
    <t>WP_117508366.1</t>
  </si>
  <si>
    <t>WP_008763249.1</t>
  </si>
  <si>
    <t>WP_015531558.1</t>
  </si>
  <si>
    <t>WP_005840641.1</t>
  </si>
  <si>
    <t>WP_004301030.1</t>
  </si>
  <si>
    <t>WP_003490613.1</t>
  </si>
  <si>
    <t>WP_061857948.1</t>
  </si>
  <si>
    <t>WP_090245638.1</t>
  </si>
  <si>
    <t>WP_113993239.1</t>
  </si>
  <si>
    <t>WP_046147827.1</t>
  </si>
  <si>
    <t>WP_008150839.1</t>
  </si>
  <si>
    <t>WP_007831071.1</t>
  </si>
  <si>
    <t>DHFR,folA</t>
  </si>
  <si>
    <t>Methotrexate</t>
  </si>
  <si>
    <t>WP_039960064.1</t>
  </si>
  <si>
    <t>WP_003827177.1</t>
  </si>
  <si>
    <t>WP_061858466.1</t>
  </si>
  <si>
    <t>WP_007836218.1</t>
  </si>
  <si>
    <t>WP_012421055.1</t>
  </si>
  <si>
    <t>WP_055202361.1</t>
  </si>
  <si>
    <t>WP_003808238.1</t>
  </si>
  <si>
    <t>WP_004315768.1</t>
  </si>
  <si>
    <t>WP_004297954.1</t>
  </si>
  <si>
    <t>WP_028904650.1</t>
  </si>
  <si>
    <t>WP_005845866.1</t>
  </si>
  <si>
    <t>WP_008766460.1</t>
  </si>
  <si>
    <t>WP_009292628.1</t>
  </si>
  <si>
    <t>WP_004219905.1</t>
  </si>
  <si>
    <t>WP_003829989.1</t>
  </si>
  <si>
    <t>WP_003835597.1</t>
  </si>
  <si>
    <t>WP_007654866.1</t>
  </si>
  <si>
    <t>WP_032682968.1</t>
  </si>
  <si>
    <t>WP_008152250.1</t>
  </si>
  <si>
    <t>WP_090244280.1</t>
  </si>
  <si>
    <t>WP_265232519.1</t>
  </si>
  <si>
    <t>WP_000624375.1</t>
  </si>
  <si>
    <t>ACHE</t>
  </si>
  <si>
    <t>Galantamine</t>
  </si>
  <si>
    <t>WP_226857014.1</t>
  </si>
  <si>
    <t>WP_047750025.1</t>
  </si>
  <si>
    <t>WP_003836035.1</t>
  </si>
  <si>
    <t>WP_012619924.1</t>
  </si>
  <si>
    <t>WP_011742894.1</t>
  </si>
  <si>
    <t>WP_117507257.1</t>
  </si>
  <si>
    <t>FKBP1</t>
  </si>
  <si>
    <t>WP_008761811.1</t>
  </si>
  <si>
    <t>WP_012619787.1</t>
  </si>
  <si>
    <t>WP_029680135.1</t>
  </si>
  <si>
    <t>WP_028905519.1</t>
  </si>
  <si>
    <t>WP_004296602.1</t>
  </si>
  <si>
    <t>WP_007655777.1</t>
  </si>
  <si>
    <t>WP_003828186.1</t>
  </si>
  <si>
    <t>WP_003809595.1</t>
  </si>
  <si>
    <t>WP_005845388.1</t>
  </si>
  <si>
    <t>WP_008023341.1</t>
  </si>
  <si>
    <t>WP_003835273.1</t>
  </si>
  <si>
    <t>WP_008153268.1</t>
  </si>
  <si>
    <t>WP_000838249.1</t>
  </si>
  <si>
    <t>WP_022245539.1</t>
  </si>
  <si>
    <t>WP_005791914.1</t>
  </si>
  <si>
    <t>WP_003826827.1</t>
  </si>
  <si>
    <t>WP_012419658.1</t>
  </si>
  <si>
    <t>WP_147232770.1</t>
  </si>
  <si>
    <t>hprT,hpt,HPRT1</t>
  </si>
  <si>
    <t>WP_011016283.1</t>
  </si>
  <si>
    <t>WP_003495825.1</t>
  </si>
  <si>
    <t>WP_008150690.1</t>
  </si>
  <si>
    <t>WP_090245923.1</t>
  </si>
  <si>
    <t>WP_033508860.1</t>
  </si>
  <si>
    <t>WP_061857023.1</t>
  </si>
  <si>
    <t>WP_172620094.1</t>
  </si>
  <si>
    <t>WP_004844055.1</t>
  </si>
  <si>
    <t>WP_172458544.1</t>
  </si>
  <si>
    <t>WP_004268795.1</t>
  </si>
  <si>
    <t>WP_003830048.1</t>
  </si>
  <si>
    <t>WP_012472190.1</t>
  </si>
  <si>
    <t>WP_112090348.1</t>
  </si>
  <si>
    <t>WP_171842400.1</t>
  </si>
  <si>
    <t>WP_046145089.1</t>
  </si>
  <si>
    <t>WP_004308350.1</t>
  </si>
  <si>
    <t>WP_005785529.1</t>
  </si>
  <si>
    <t>WP_008760055.1</t>
  </si>
  <si>
    <t>WP_007851109.1</t>
  </si>
  <si>
    <t>WP_011965263.1</t>
  </si>
  <si>
    <t>WP_028905422.1</t>
  </si>
  <si>
    <t>WP_000683336.1</t>
  </si>
  <si>
    <t>WP_004301901.1</t>
  </si>
  <si>
    <t>WP_022333306.1</t>
  </si>
  <si>
    <t>DPP4,CD26</t>
  </si>
  <si>
    <t>WP_052588014.1</t>
  </si>
  <si>
    <t>WP_005785270.1</t>
  </si>
  <si>
    <t>WP_117507124.1</t>
  </si>
  <si>
    <t>WP_011109162.1</t>
  </si>
  <si>
    <t>WP_011965402.1</t>
  </si>
  <si>
    <t>WP_008149879.1</t>
  </si>
  <si>
    <t>WP_007654537.1</t>
  </si>
  <si>
    <t>WP_007836116.1</t>
  </si>
  <si>
    <t>WP_008645487.1</t>
  </si>
  <si>
    <t>DHODH,pyrD</t>
  </si>
  <si>
    <t>WP_010992910.1</t>
  </si>
  <si>
    <t>WP_117508008.1</t>
  </si>
  <si>
    <t>WP_197309075.1</t>
  </si>
  <si>
    <t>WP_002431618.1</t>
  </si>
  <si>
    <t>WP_004221302.1</t>
  </si>
  <si>
    <t>WP_003835410.1</t>
  </si>
  <si>
    <t>WP_233420562.1</t>
  </si>
  <si>
    <t>WP_025332090.1</t>
  </si>
  <si>
    <t>WP_003806744.1</t>
  </si>
  <si>
    <t>WP_003827134.1</t>
  </si>
  <si>
    <t>WP_062695115.1</t>
  </si>
  <si>
    <t>WP_004295952.1</t>
  </si>
  <si>
    <t>WP_007656831.1</t>
  </si>
  <si>
    <t>WP_004269227.1</t>
  </si>
  <si>
    <t>WP_008149686.1</t>
  </si>
  <si>
    <t>WP_008640229.1</t>
  </si>
  <si>
    <t>SLC5A2,SGLT2</t>
  </si>
  <si>
    <t>WP_007838463.1</t>
  </si>
  <si>
    <t>WP_011965818.1</t>
  </si>
  <si>
    <t>WP_008158411.1</t>
  </si>
  <si>
    <t>WP_009040319.1</t>
  </si>
  <si>
    <t>WP_106024432.1</t>
  </si>
  <si>
    <t>WP_012420017.1</t>
  </si>
  <si>
    <t>WP_004841524.1</t>
  </si>
  <si>
    <t>WP_008766122.1</t>
  </si>
  <si>
    <t>WP_141417982.1</t>
  </si>
  <si>
    <t>WP_007653377.1</t>
  </si>
  <si>
    <t>WP_090245485.1</t>
  </si>
  <si>
    <t>WP_106620575.1</t>
  </si>
  <si>
    <t>WP_001175689.1</t>
  </si>
  <si>
    <t>WP_005789151.1</t>
  </si>
  <si>
    <t>WP_004297459.1</t>
  </si>
  <si>
    <t>WP_004269218.1</t>
  </si>
  <si>
    <t>WP_114980284.1</t>
  </si>
  <si>
    <t>WP_003833577.1</t>
  </si>
  <si>
    <t>WP_197308971.1</t>
  </si>
  <si>
    <t>WP_193352306.1</t>
  </si>
  <si>
    <t>WP_011742579.1</t>
  </si>
  <si>
    <t>WP_004222814.1</t>
  </si>
  <si>
    <t>WP_028905062.1</t>
  </si>
  <si>
    <t>IDH1,IDH2,icd</t>
  </si>
  <si>
    <t>WP_008023439.1</t>
  </si>
  <si>
    <t>WP_197308899.1</t>
  </si>
  <si>
    <t>WP_003809335.1</t>
  </si>
  <si>
    <t>WP_038605696.1</t>
  </si>
  <si>
    <t>WP_003834925.1</t>
  </si>
  <si>
    <t>WP_004221932.1</t>
  </si>
  <si>
    <t>WP_033508135.1</t>
  </si>
  <si>
    <t>WP_046147587.1</t>
  </si>
  <si>
    <t>WP_000042375.1</t>
  </si>
  <si>
    <t>WP_003829497.1</t>
  </si>
  <si>
    <t>WP_004218022.1</t>
  </si>
  <si>
    <t>WP_004840770.1</t>
  </si>
  <si>
    <t>WP_005925517.1</t>
  </si>
  <si>
    <t>WP_217802991.1</t>
  </si>
  <si>
    <t>WP_008767198.1</t>
  </si>
  <si>
    <t>WP_117507018.1</t>
  </si>
  <si>
    <t>Target protein</t>
    <phoneticPr fontId="1" type="noConversion"/>
  </si>
  <si>
    <t>Strain</t>
    <phoneticPr fontId="1" type="noConversion"/>
  </si>
  <si>
    <t>Affinity score</t>
    <phoneticPr fontId="1" type="noConversion"/>
  </si>
  <si>
    <t>WP_007657808.1</t>
  </si>
  <si>
    <t>Bacteroides dorei</t>
  </si>
  <si>
    <t>Bacteroides vulgatus</t>
  </si>
  <si>
    <t>Ruminococcus gnavus</t>
  </si>
  <si>
    <t>Species</t>
    <phoneticPr fontId="1" type="noConversion"/>
  </si>
  <si>
    <t>ATCC BAA-1178</t>
  </si>
  <si>
    <t>DSM 17855</t>
  </si>
  <si>
    <t>ATCC BAA-835</t>
    <phoneticPr fontId="1" type="noConversion"/>
  </si>
  <si>
    <t>ATCC 8482</t>
  </si>
  <si>
    <t>ATCC 25285</t>
  </si>
  <si>
    <t>JCM 5824</t>
  </si>
  <si>
    <t>JCM 5827</t>
  </si>
  <si>
    <t>JCM 15633</t>
  </si>
  <si>
    <t>DSM 19448</t>
  </si>
  <si>
    <t>DSM 18315</t>
  </si>
  <si>
    <t>ATCC 25611</t>
  </si>
  <si>
    <t>ATCC 15703</t>
  </si>
  <si>
    <t>DSM 20098</t>
  </si>
  <si>
    <t>DSM 20213</t>
  </si>
  <si>
    <t>DSM 16992</t>
  </si>
  <si>
    <t>JCM 1416</t>
  </si>
  <si>
    <t>ATCC 51427</t>
  </si>
  <si>
    <t>ATCC 29149</t>
  </si>
  <si>
    <t>ATCC 25849</t>
  </si>
  <si>
    <t>ATCC 27768</t>
  </si>
  <si>
    <t>ATCC 35469</t>
  </si>
  <si>
    <t>DSM 10140</t>
    <phoneticPr fontId="1" type="noConversion"/>
  </si>
  <si>
    <t>JCM 19995</t>
  </si>
  <si>
    <t>ATCC 25586</t>
  </si>
  <si>
    <t>DSM 20438</t>
    <phoneticPr fontId="1" type="noConversion"/>
  </si>
  <si>
    <t>Bifidobacterium animalis subsp. lactis</t>
  </si>
  <si>
    <t>Bifidobacterium animalis subsp. lactis</t>
    <phoneticPr fontId="1" type="noConversion"/>
  </si>
  <si>
    <t>Bifidobacterium longum subsp. suillum</t>
  </si>
  <si>
    <t>Bifidobacterium longum subsp. suillum</t>
    <phoneticPr fontId="1" type="noConversion"/>
  </si>
  <si>
    <t>Fusobacterium nucleatum subsp. nucleatum</t>
  </si>
  <si>
    <t>Fusobacterium nucleatum subsp. nucleatum</t>
    <phoneticPr fontId="1" type="noConversion"/>
  </si>
  <si>
    <t>&gt;364</t>
  </si>
  <si>
    <t>MIC (µg/ml)</t>
    <phoneticPr fontId="1" type="noConversion"/>
  </si>
  <si>
    <t>Bacteroides thetaiotaomicron</t>
    <phoneticPr fontId="1" type="noConversion"/>
  </si>
  <si>
    <t>Bacteria</t>
    <phoneticPr fontId="1" type="noConversion"/>
  </si>
  <si>
    <t>WP_109087772.1</t>
    <phoneticPr fontId="1" type="noConversion"/>
  </si>
  <si>
    <t>Table S3C. Isolates Used in In This Study.</t>
    <phoneticPr fontId="1" type="noConversion"/>
  </si>
  <si>
    <t xml:space="preserve">CAAGGGTTTGGCTCTGGTCT                        </t>
  </si>
  <si>
    <t xml:space="preserve">CCTGGTGTCAGGGATGCAAA    </t>
  </si>
  <si>
    <t>CGGGCAAAGATGTTCCCTCT</t>
  </si>
  <si>
    <t>ACTGGCAGAAGACATGGTGG</t>
  </si>
  <si>
    <t>GGATTGATCTCCGGCATGGT</t>
  </si>
  <si>
    <t>GCAGTTGGAGCTTCTGTTGC</t>
  </si>
  <si>
    <t>CCCAAGACGTTCTCGGTGAA</t>
  </si>
  <si>
    <t>CATGATGACCGGATGCGAGA</t>
  </si>
  <si>
    <t>TGATGTGGATACTGTAGTTATGGGA</t>
  </si>
  <si>
    <t>TATCTACGAGACCTCCGCCA</t>
  </si>
  <si>
    <t>CCATGAAGTCGGAATCGCTAG</t>
  </si>
  <si>
    <t>GCTTGACGGGCGGTGT</t>
  </si>
  <si>
    <t>Homolog accession number</t>
    <phoneticPr fontId="1" type="noConversion"/>
  </si>
  <si>
    <t>Primer</t>
    <phoneticPr fontId="5" type="noConversion"/>
  </si>
  <si>
    <t>Gene</t>
    <phoneticPr fontId="5" type="noConversion"/>
  </si>
  <si>
    <t>Sequence</t>
    <phoneticPr fontId="5" type="noConversion"/>
  </si>
  <si>
    <t>Usage</t>
    <phoneticPr fontId="5" type="noConversion"/>
  </si>
  <si>
    <r>
      <t>ef</t>
    </r>
    <r>
      <rPr>
        <i/>
        <sz val="11"/>
        <color theme="1"/>
        <rFont val="等线"/>
        <family val="3"/>
        <charset val="134"/>
        <scheme val="minor"/>
      </rPr>
      <t>SLC5A2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</si>
  <si>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ef</t>
    </r>
    <r>
      <rPr>
        <i/>
        <sz val="11"/>
        <color theme="1"/>
        <rFont val="等线"/>
        <family val="3"/>
        <charset val="134"/>
        <scheme val="minor"/>
      </rPr>
      <t>SLC5A2</t>
    </r>
    <r>
      <rPr>
        <sz val="11"/>
        <color theme="1"/>
        <rFont val="等线"/>
        <family val="2"/>
        <charset val="134"/>
        <scheme val="minor"/>
      </rPr>
      <t>-R</t>
    </r>
    <phoneticPr fontId="1" type="noConversion"/>
  </si>
  <si>
    <r>
      <t>bo</t>
    </r>
    <r>
      <rPr>
        <i/>
        <sz val="11"/>
        <color theme="1"/>
        <rFont val="等线"/>
        <family val="3"/>
        <charset val="134"/>
        <scheme val="minor"/>
      </rPr>
      <t>SLC5A2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</si>
  <si>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bo</t>
    </r>
    <r>
      <rPr>
        <i/>
        <sz val="11"/>
        <color theme="1"/>
        <rFont val="等线"/>
        <family val="3"/>
        <charset val="134"/>
        <scheme val="minor"/>
      </rPr>
      <t>SLC5A2</t>
    </r>
    <r>
      <rPr>
        <sz val="11"/>
        <color theme="1"/>
        <rFont val="等线"/>
        <family val="2"/>
        <charset val="134"/>
        <scheme val="minor"/>
      </rPr>
      <t>-R</t>
    </r>
    <phoneticPr fontId="1" type="noConversion"/>
  </si>
  <si>
    <r>
      <t>bc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</si>
  <si>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bc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-R</t>
    </r>
    <phoneticPr fontId="1" type="noConversion"/>
  </si>
  <si>
    <r>
      <t>cs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</si>
  <si>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cs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-R</t>
    </r>
    <phoneticPr fontId="1" type="noConversion"/>
  </si>
  <si>
    <t>Uni16S-F</t>
    <phoneticPr fontId="1" type="noConversion"/>
  </si>
  <si>
    <t>Uni16S-R</t>
    <phoneticPr fontId="1" type="noConversion"/>
  </si>
  <si>
    <t>Real-time PCR for bacterial gene</t>
    <phoneticPr fontId="5" type="noConversion"/>
  </si>
  <si>
    <t>GTACGGACGATCGCGTAACG</t>
  </si>
  <si>
    <t>attB-sgRNA</t>
    <phoneticPr fontId="1" type="noConversion"/>
  </si>
  <si>
    <t>attB-UF</t>
  </si>
  <si>
    <t>attB-UR</t>
  </si>
  <si>
    <t>attB-DF</t>
    <phoneticPr fontId="1" type="noConversion"/>
  </si>
  <si>
    <t>attB-DR</t>
    <phoneticPr fontId="1" type="noConversion"/>
  </si>
  <si>
    <r>
      <t>pFnrS-ba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</si>
  <si>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-R</t>
    </r>
    <phoneticPr fontId="1" type="noConversion"/>
  </si>
  <si>
    <r>
      <t>Amplification of 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 xml:space="preserve"> with pFnrS-ba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</si>
  <si>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Amplification of 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 xml:space="preserve"> genes with pFnrS promoter from pET32a-pFnrS-ba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 xml:space="preserve"> plasmids</t>
    </r>
    <phoneticPr fontId="1" type="noConversion"/>
  </si>
  <si>
    <t xml:space="preserve">YZ-attb-F       </t>
    <phoneticPr fontId="1" type="noConversion"/>
  </si>
  <si>
    <t xml:space="preserve">YZ-attb-R       </t>
    <phoneticPr fontId="1" type="noConversion"/>
  </si>
  <si>
    <r>
      <t>Primers for knocking in ba</t>
    </r>
    <r>
      <rPr>
        <b/>
        <i/>
        <sz val="11"/>
        <color theme="1"/>
        <rFont val="Times New Roman"/>
        <family val="1"/>
      </rPr>
      <t>DHFR</t>
    </r>
    <r>
      <rPr>
        <b/>
        <sz val="11"/>
        <color theme="1"/>
        <rFont val="Times New Roman"/>
        <family val="1"/>
      </rPr>
      <t xml:space="preserve"> gene in EcN</t>
    </r>
    <phoneticPr fontId="5" type="noConversion"/>
  </si>
  <si>
    <r>
      <t xml:space="preserve">gRNA at </t>
    </r>
    <r>
      <rPr>
        <i/>
        <sz val="11"/>
        <color theme="1"/>
        <rFont val="等线"/>
        <family val="3"/>
        <charset val="134"/>
        <scheme val="minor"/>
      </rPr>
      <t>attB</t>
    </r>
    <r>
      <rPr>
        <sz val="11"/>
        <color theme="1"/>
        <rFont val="等线"/>
        <family val="2"/>
        <charset val="134"/>
        <scheme val="minor"/>
      </rPr>
      <t xml:space="preserve"> site for insertion of 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 xml:space="preserve"> gene</t>
    </r>
    <phoneticPr fontId="1" type="noConversion"/>
  </si>
  <si>
    <r>
      <t>The verification for the insertion of 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 xml:space="preserve"> at </t>
    </r>
    <r>
      <rPr>
        <i/>
        <sz val="11"/>
        <color theme="1"/>
        <rFont val="等线"/>
        <family val="3"/>
        <charset val="134"/>
        <scheme val="minor"/>
      </rPr>
      <t>attB</t>
    </r>
    <r>
      <rPr>
        <sz val="11"/>
        <color theme="1"/>
        <rFont val="等线"/>
        <family val="2"/>
        <charset val="134"/>
        <scheme val="minor"/>
      </rPr>
      <t xml:space="preserve"> site</t>
    </r>
    <phoneticPr fontId="1" type="noConversion"/>
  </si>
  <si>
    <t>TTACGATGGCGATAATATTTCACC</t>
  </si>
  <si>
    <t>accaataagaacaATACTAACTTGAGCGAAACGGGAAG</t>
    <phoneticPr fontId="1" type="noConversion"/>
  </si>
  <si>
    <t>tcgttttatttgTAAAAAAGCAGGCTTCAACGGATTCATTTTTC</t>
  </si>
  <si>
    <t>GGAAAGCCCAATCTTCACATCAATCG</t>
  </si>
  <si>
    <t>tcaagttagtatTGTTCTTATTGGTGGTGTTGCTTTATGG</t>
    <phoneticPr fontId="1" type="noConversion"/>
  </si>
  <si>
    <t>gcctgcttttttaCAAATAAAACGAAAGGCTCAGTCGAAAG</t>
    <phoneticPr fontId="1" type="noConversion"/>
  </si>
  <si>
    <t>Table S3E. Primers Used in This Study.</t>
    <phoneticPr fontId="5" type="noConversion"/>
  </si>
  <si>
    <t>Table S3D. Affinity of Ten Drugs with Target Protein's Homologs in Isolates Used in In Vitro Experiments.</t>
    <phoneticPr fontId="5" type="noConversion"/>
  </si>
  <si>
    <t>Enasidenib</t>
    <phoneticPr fontId="1" type="noConversion"/>
  </si>
  <si>
    <t>1446502-11-9</t>
    <phoneticPr fontId="1" type="noConversion"/>
  </si>
  <si>
    <t>99-66-1</t>
    <phoneticPr fontId="1" type="noConversion"/>
  </si>
  <si>
    <t>59-05-2</t>
    <phoneticPr fontId="1" type="noConversion"/>
  </si>
  <si>
    <t>357-70-0</t>
    <phoneticPr fontId="1" type="noConversion"/>
  </si>
  <si>
    <t>Teriflunomide</t>
    <phoneticPr fontId="1" type="noConversion"/>
  </si>
  <si>
    <t>163451-81-8</t>
    <phoneticPr fontId="1" type="noConversion"/>
  </si>
  <si>
    <t>50-44-2</t>
    <phoneticPr fontId="1" type="noConversion"/>
  </si>
  <si>
    <t>59865-13-3</t>
    <phoneticPr fontId="1" type="noConversion"/>
  </si>
  <si>
    <t>Sirolimus</t>
    <phoneticPr fontId="1" type="noConversion"/>
  </si>
  <si>
    <t>53123-88-9</t>
    <phoneticPr fontId="1" type="noConversion"/>
  </si>
  <si>
    <t>Vildagliptin</t>
    <phoneticPr fontId="1" type="noConversion"/>
  </si>
  <si>
    <t>274901-16-5</t>
    <phoneticPr fontId="1" type="noConversion"/>
  </si>
  <si>
    <t>842133-18-0</t>
    <phoneticPr fontId="1" type="noConversion"/>
  </si>
  <si>
    <t>864070-44-0</t>
    <phoneticPr fontId="1" type="noConversion"/>
  </si>
  <si>
    <t>123441-03-2</t>
    <phoneticPr fontId="1" type="noConversion"/>
  </si>
  <si>
    <t>134308-13-7</t>
    <phoneticPr fontId="1" type="noConversion"/>
  </si>
  <si>
    <t>75706-12-6</t>
    <phoneticPr fontId="1" type="noConversion"/>
  </si>
  <si>
    <t>657-24-9</t>
    <phoneticPr fontId="1" type="noConversion"/>
  </si>
  <si>
    <t>1.67 </t>
    <phoneticPr fontId="1" type="noConversion"/>
  </si>
  <si>
    <t>Levocarnitine</t>
    <phoneticPr fontId="1" type="noConversion"/>
  </si>
  <si>
    <t>541-15-1</t>
    <phoneticPr fontId="1" type="noConversion"/>
  </si>
  <si>
    <t>Tegafur</t>
    <phoneticPr fontId="1" type="noConversion"/>
  </si>
  <si>
    <t>17902-23-7</t>
    <phoneticPr fontId="1" type="noConversion"/>
  </si>
  <si>
    <t>Leflunomide</t>
  </si>
  <si>
    <t>Metformin</t>
  </si>
  <si>
    <t>Ranitidine</t>
  </si>
  <si>
    <t>Fluorouracil</t>
  </si>
  <si>
    <t>Trifluridine</t>
  </si>
  <si>
    <t>Didanosine</t>
  </si>
  <si>
    <t>Supplier</t>
    <phoneticPr fontId="1" type="noConversion"/>
  </si>
  <si>
    <r>
      <t>IC</t>
    </r>
    <r>
      <rPr>
        <b/>
        <vertAlign val="subscript"/>
        <sz val="11"/>
        <color theme="1"/>
        <rFont val="Times New Roman"/>
        <family val="1"/>
      </rPr>
      <t>25</t>
    </r>
    <r>
      <rPr>
        <b/>
        <sz val="11"/>
        <color theme="1"/>
        <rFont val="Times New Roman"/>
        <family val="1"/>
      </rPr>
      <t xml:space="preserve"> (µg/ml)</t>
    </r>
    <phoneticPr fontId="1" type="noConversion"/>
  </si>
  <si>
    <t>WP_004268723.1</t>
    <phoneticPr fontId="1" type="noConversion"/>
  </si>
  <si>
    <t>ATGGAATCTGGTTCTTCTCGTAGCGGTTATCATGAACCGGTTCCGGGTAGCGCTGGTCCGGAAGTTTTCGAAGATGATTGGGGTGATGATTTCCCGAAAACCTTCTCTGTTAACCTGATCTGGGCGCAGGCTAATGATAAAGAAGGTCGTAGCGGTGCTATCGGCTACGAAGGCGAGATGCCGTGGCACCTCCCGGAAGATCTGAAACGTTTTAAAGAACTGACCGTTAGCCACCCGGTGATCATGGGGCGTAAGACCTGGGAAGCGCTGAACGAGAAATTCCGTCCGCTGCCGAACCGTGATAACATTGTTCTGTCTCGTGATCGTGATTTCCGTGCGCCGGGTGCGACCGTTGTTGATAACCTGGAAGAAGCTCTGGATATGGCGCGTCAGGAAGCGATCCCGGATGATGGTCTGGATCGTTCTGAAATTTGGGTTATTGGTGGTAGCCAGCTGTTTAACCAGATGCTACCGATGGCTTCTAAAATCTATATGACCCAGGTTGATGCTAAAGTTAACGCTGATGCGTATGCGCCGGATCTGACCGAAGCGCTGAACAACGGTAGCTGGAAACTGATGGAAAACTCGGGCTGGCTGACCCCGAAAAAACCGGAAGGTATCGATCGTTATCGATATCTGACCTTCGAACGTAACACCGGTGATGAACAGGCTGAAGAAGAA</t>
  </si>
  <si>
    <r>
      <t>ba</t>
    </r>
    <r>
      <rPr>
        <i/>
        <sz val="11"/>
        <color theme="1"/>
        <rFont val="等线"/>
        <family val="3"/>
        <charset val="134"/>
        <scheme val="minor"/>
      </rPr>
      <t>DHFR</t>
    </r>
    <phoneticPr fontId="1" type="noConversion"/>
  </si>
  <si>
    <r>
      <t>Codon-optimized ba</t>
    </r>
    <r>
      <rPr>
        <b/>
        <i/>
        <sz val="11"/>
        <color theme="1"/>
        <rFont val="Times New Roman"/>
        <family val="1"/>
      </rPr>
      <t>DHFR</t>
    </r>
    <r>
      <rPr>
        <b/>
        <sz val="11"/>
        <color theme="1"/>
        <rFont val="Times New Roman"/>
        <family val="1"/>
      </rPr>
      <t xml:space="preserve"> sequence for E. coli</t>
    </r>
    <phoneticPr fontId="5" type="noConversion"/>
  </si>
  <si>
    <r>
      <t>Primers for knocking out ec</t>
    </r>
    <r>
      <rPr>
        <b/>
        <i/>
        <sz val="11"/>
        <color theme="1"/>
        <rFont val="Times New Roman"/>
        <family val="1"/>
      </rPr>
      <t>DHFR</t>
    </r>
    <r>
      <rPr>
        <b/>
        <sz val="11"/>
        <color theme="1"/>
        <rFont val="Times New Roman"/>
        <family val="1"/>
      </rPr>
      <t xml:space="preserve"> gene in EcN</t>
    </r>
    <phoneticPr fontId="5" type="noConversion"/>
  </si>
  <si>
    <t>ecDHFR-sgRNA</t>
    <phoneticPr fontId="1" type="noConversion"/>
  </si>
  <si>
    <t>ecDHFR-UF</t>
    <phoneticPr fontId="1" type="noConversion"/>
  </si>
  <si>
    <t>ecDHFR-UR</t>
    <phoneticPr fontId="1" type="noConversion"/>
  </si>
  <si>
    <t>ecDHFR-DF</t>
    <phoneticPr fontId="1" type="noConversion"/>
  </si>
  <si>
    <t>ecDHFR-DR</t>
    <phoneticPr fontId="1" type="noConversion"/>
  </si>
  <si>
    <t xml:space="preserve">YZ-ecDHFR-F       </t>
    <phoneticPr fontId="1" type="noConversion"/>
  </si>
  <si>
    <t xml:space="preserve">YZ-ecDHFR-R       </t>
    <phoneticPr fontId="1" type="noConversion"/>
  </si>
  <si>
    <r>
      <t xml:space="preserve">gRNA at </t>
    </r>
    <r>
      <rPr>
        <i/>
        <sz val="11"/>
        <color theme="1"/>
        <rFont val="等线"/>
        <family val="3"/>
        <charset val="134"/>
        <scheme val="minor"/>
      </rPr>
      <t>ecDHFR</t>
    </r>
    <r>
      <rPr>
        <sz val="11"/>
        <color theme="1"/>
        <rFont val="等线"/>
        <family val="2"/>
        <charset val="134"/>
        <scheme val="minor"/>
      </rPr>
      <t xml:space="preserve"> site for deleting ec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 xml:space="preserve"> gene</t>
    </r>
    <phoneticPr fontId="1" type="noConversion"/>
  </si>
  <si>
    <r>
      <t>The verification for the deletion of ec</t>
    </r>
    <r>
      <rPr>
        <i/>
        <sz val="11"/>
        <color theme="1"/>
        <rFont val="等线"/>
        <family val="3"/>
        <charset val="134"/>
        <scheme val="minor"/>
      </rPr>
      <t>DHFR</t>
    </r>
    <phoneticPr fontId="1" type="noConversion"/>
  </si>
  <si>
    <r>
      <t xml:space="preserve">Upstream restoration for the insertion of gene at </t>
    </r>
    <r>
      <rPr>
        <i/>
        <sz val="11"/>
        <color theme="1"/>
        <rFont val="等线"/>
        <family val="3"/>
        <charset val="134"/>
        <scheme val="minor"/>
      </rPr>
      <t>attB</t>
    </r>
    <r>
      <rPr>
        <sz val="11"/>
        <color theme="1"/>
        <rFont val="等线"/>
        <family val="2"/>
        <charset val="134"/>
        <scheme val="minor"/>
      </rPr>
      <t xml:space="preserve"> site</t>
    </r>
    <phoneticPr fontId="1" type="noConversion"/>
  </si>
  <si>
    <r>
      <t xml:space="preserve">Downstream restoration for the insertion of gene at </t>
    </r>
    <r>
      <rPr>
        <i/>
        <sz val="11"/>
        <color theme="1"/>
        <rFont val="等线"/>
        <family val="3"/>
        <charset val="134"/>
        <scheme val="minor"/>
      </rPr>
      <t>attB</t>
    </r>
    <r>
      <rPr>
        <sz val="11"/>
        <color theme="1"/>
        <rFont val="等线"/>
        <family val="2"/>
        <charset val="134"/>
        <scheme val="minor"/>
      </rPr>
      <t xml:space="preserve"> site</t>
    </r>
    <phoneticPr fontId="1" type="noConversion"/>
  </si>
  <si>
    <r>
      <t>Upstream restoration for the deletion of ec</t>
    </r>
    <r>
      <rPr>
        <i/>
        <sz val="11"/>
        <color theme="1"/>
        <rFont val="等线"/>
        <family val="3"/>
        <charset val="134"/>
        <scheme val="minor"/>
      </rPr>
      <t>DHFR</t>
    </r>
    <phoneticPr fontId="1" type="noConversion"/>
  </si>
  <si>
    <r>
      <t>Downstream stream restoration for the deletion of ec</t>
    </r>
    <r>
      <rPr>
        <i/>
        <sz val="11"/>
        <color theme="1"/>
        <rFont val="等线"/>
        <family val="3"/>
        <charset val="134"/>
        <scheme val="minor"/>
      </rPr>
      <t>DHFR</t>
    </r>
    <phoneticPr fontId="1" type="noConversion"/>
  </si>
  <si>
    <t>TTCTTTGCCGTCTACCAGTAAAAGGAT</t>
  </si>
  <si>
    <t>AGCGTGAAACCTTCGAAGGTGC</t>
  </si>
  <si>
    <t>gaaatctcaatgaGGTAATTTTGTATATTAGAATTCCGGCATCACTG</t>
    <phoneticPr fontId="1" type="noConversion"/>
  </si>
  <si>
    <t>tacaaaattaccTCATTGAGATTTCCCGATAAAAAAAATTGTCGC</t>
    <phoneticPr fontId="1" type="noConversion"/>
  </si>
  <si>
    <t>TTAACCTGATCTGGGCGCAG</t>
    <phoneticPr fontId="1" type="noConversion"/>
  </si>
  <si>
    <t>GCACGGAAATCACGATCACG</t>
    <phoneticPr fontId="1" type="noConversion"/>
  </si>
  <si>
    <r>
      <t>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</si>
  <si>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ba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-R</t>
    </r>
    <phoneticPr fontId="1" type="noConversion"/>
  </si>
  <si>
    <t>CGCCTGGTTTAAACGCAACA</t>
    <phoneticPr fontId="1" type="noConversion"/>
  </si>
  <si>
    <t>CACCGACTTCACCCACGTTA</t>
    <phoneticPr fontId="1" type="noConversion"/>
  </si>
  <si>
    <r>
      <t>ec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-F</t>
    </r>
    <phoneticPr fontId="1" type="noConversion"/>
  </si>
  <si>
    <r>
      <t>ec</t>
    </r>
    <r>
      <rPr>
        <i/>
        <sz val="11"/>
        <color theme="1"/>
        <rFont val="等线"/>
        <family val="3"/>
        <charset val="134"/>
        <scheme val="minor"/>
      </rPr>
      <t>DHFR</t>
    </r>
    <r>
      <rPr>
        <sz val="11"/>
        <color theme="1"/>
        <rFont val="等线"/>
        <family val="2"/>
        <charset val="134"/>
        <scheme val="minor"/>
      </rPr>
      <t>-R</t>
    </r>
    <phoneticPr fontId="1" type="noConversion"/>
  </si>
  <si>
    <t>100 (Renuka R. Nayak et al)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</si>
</sst>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0_ "/>
    <numFmt numFmtId="177" formatCode="0.0_ "/>
    <numFmt numFmtId="178" formatCode="0.0000_ 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等线"/>
      <family val="3"/>
      <charset val="134"/>
      <scheme val="minor"/>
    </font>
    <font>
      <b/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178" fontId="0" fillId="0" borderId="0" xfId="0" applyNumberFormat="1">
      <alignment vertical="center"/>
    </xf>
    <xf numFmtId="178" fontId="4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6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29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8" formatCode="0.0000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8" formatCode="0.0000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7" formatCode="0.0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6" formatCode="0.000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6" formatCode="0.000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76" formatCode="0.000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</dxfs>
  <tableStyles count="1" defaultTableStyle="TableStyleMedium2" defaultPivotStyle="PivotStyleLight16">
    <tableStyle name="表样式 1" pivot="0" count="1" xr9:uid="{0A9672BB-001C-4F33-B07F-D40A3DD4E2B4}">
      <tableStyleElement type="wholeTabl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45B06-132E-4674-9517-48872D24389A}" name="表3_5" displayName="表3_5" ref="A2:K43" totalsRowShown="0" headerRowDxfId="27" dataDxfId="25" headerRowBorderDxfId="26">
  <tableColumns count="11">
    <tableColumn id="1" xr3:uid="{BA8CEE49-BFF4-45B3-A267-CCFF8E730F4E}" name="Number" dataDxfId="24"/>
    <tableColumn id="2" xr3:uid="{CC4B8D85-0CE5-4506-BDF7-0E95639F6FCF}" name="Drug" dataDxfId="23"/>
    <tableColumn id="3" xr3:uid="{AABE66D7-8211-4D78-937B-3386BBF116C7}" name="CAS number" dataDxfId="22"/>
    <tableColumn id="4" xr3:uid="{D4E6DCF8-E4FD-4219-A2AE-2D5147D978BD}" name="Molecular weight (g/mol)" dataDxfId="21"/>
    <tableColumn id="6" xr3:uid="{D58B64EB-8934-449C-A5AC-F52DE5889C8F}" name="Dose (mg)" dataDxfId="20"/>
    <tableColumn id="11" xr3:uid="{5BECFECB-8880-4D08-8453-127FFA725D92}" name="Fraction excreted in feces" dataDxfId="19"/>
    <tableColumn id="14" xr3:uid="{6943B254-974C-46D1-992B-8EEBFDAC56BD}" name="Plasma concentration (µM)" dataDxfId="18"/>
    <tableColumn id="15" xr3:uid="{ED730088-F30D-40C6-846F-5DE1EA3F05C3}" name="Estimated intestine concentration (µg/ml)" dataDxfId="17"/>
    <tableColumn id="17" xr3:uid="{D221A3CF-B23F-47D8-87D5-E511BE5C04C0}" name="Estimated colon concentration(µg/ml)" dataDxfId="16"/>
    <tableColumn id="20" xr3:uid="{B87532AD-CB88-4F01-ACFD-F397D8FD39BB}" name="Screen concentration (µg/ml)" dataDxfId="15"/>
    <tableColumn id="19" xr3:uid="{2B2353E5-08FB-4A6B-BB47-2515C804A397}" name="References" dataDxfId="14"/>
  </tableColumns>
  <tableStyleInfo name="表样式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F3395-749A-4F66-AB82-EF9066B3323E}" name="表1" displayName="表1" ref="A2:B43" totalsRowShown="0" headerRowDxfId="13" dataDxfId="11" headerRowBorderDxfId="12">
  <tableColumns count="2">
    <tableColumn id="1" xr3:uid="{B4A6BE5B-C1CD-4364-B7FB-D70D304C6A37}" name="Drug" dataDxfId="10"/>
    <tableColumn id="2" xr3:uid="{0661C2C5-F0B6-4291-A136-09C45BD950C4}" name="Supplier" dataDxfId="9"/>
  </tableColumns>
  <tableStyleInfo name="表样式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74F3BE-D1EE-4BE5-B14F-54F6B2F26549}" name="表2" displayName="表2" ref="A2:F174" totalsRowShown="0" headerRowDxfId="8" dataDxfId="6" headerRowBorderDxfId="7">
  <tableColumns count="6">
    <tableColumn id="3" xr3:uid="{FB5BDF5C-074D-4B66-A4DA-38C199D3D059}" name="Drug" dataDxfId="5"/>
    <tableColumn id="1" xr3:uid="{8B51784A-A629-49AC-A056-D0E99188CDCE}" name="Target protein" dataDxfId="4"/>
    <tableColumn id="2" xr3:uid="{A5E470D8-7F90-4999-8370-660456FA6AA8}" name="Bacteria" dataDxfId="3"/>
    <tableColumn id="4" xr3:uid="{50A27DBC-7E14-4418-8939-327D42CE5612}" name="Homolog accession number" dataDxfId="2"/>
    <tableColumn id="7" xr3:uid="{C60B99C9-68C3-48B8-A130-FECEDF5F51E3}" name="Affinity score" dataDxfId="1"/>
    <tableColumn id="6" xr3:uid="{7E9CE29A-A555-4682-9D4A-C53763FC950E}" name="Binding energy(kcal/mol)" dataDxfId="0"/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EA8A-2A0E-4D76-AB6D-325F70D61EC7}">
  <dimension ref="A1:K43"/>
  <sheetViews>
    <sheetView tabSelected="1" topLeftCell="F1" workbookViewId="0">
      <selection activeCell="I11" sqref="I11"/>
    </sheetView>
  </sheetViews>
  <sheetFormatPr defaultColWidth="8.64453125" defaultRowHeight="14" x14ac:dyDescent="0.45"/>
  <cols>
    <col min="1" max="1" width="9.64453125" style="2" customWidth="1"/>
    <col min="2" max="2" width="14.3515625" style="2" customWidth="1"/>
    <col min="3" max="3" width="13.9375" style="2" customWidth="1"/>
    <col min="4" max="4" width="23.234375" style="2" bestFit="1" customWidth="1"/>
    <col min="5" max="5" width="9.64453125" style="2" bestFit="1" customWidth="1"/>
    <col min="6" max="6" width="23.234375" style="2" bestFit="1" customWidth="1"/>
    <col min="7" max="7" width="24.3515625" style="11" bestFit="1" customWidth="1"/>
    <col min="8" max="8" width="37.5859375" style="11" bestFit="1" customWidth="1"/>
    <col min="9" max="9" width="34.17578125" style="11" bestFit="1" customWidth="1"/>
    <col min="10" max="10" width="26.5859375" style="12" bestFit="1" customWidth="1"/>
    <col min="11" max="11" width="42.46875" style="2" customWidth="1"/>
    <col min="12" max="16384" width="8.64453125" style="2"/>
  </cols>
  <sheetData>
    <row r="1" spans="1:11" ht="14.35" thickBot="1" x14ac:dyDescent="0.5">
      <c r="A1" s="7" t="s">
        <v>76</v>
      </c>
    </row>
    <row r="2" spans="1:11" s="16" customFormat="1" ht="14.35" thickBot="1" x14ac:dyDescent="0.5">
      <c r="A2" s="17" t="s">
        <v>61</v>
      </c>
      <c r="B2" s="17" t="s">
        <v>57</v>
      </c>
      <c r="C2" s="17" t="s">
        <v>56</v>
      </c>
      <c r="D2" s="17" t="s">
        <v>58</v>
      </c>
      <c r="E2" s="17" t="s">
        <v>59</v>
      </c>
      <c r="F2" s="17" t="s">
        <v>60</v>
      </c>
      <c r="G2" s="18" t="s">
        <v>72</v>
      </c>
      <c r="H2" s="18" t="s">
        <v>73</v>
      </c>
      <c r="I2" s="18" t="s">
        <v>74</v>
      </c>
      <c r="J2" s="19" t="s">
        <v>75</v>
      </c>
      <c r="K2" s="17" t="s">
        <v>62</v>
      </c>
    </row>
    <row r="3" spans="1:11" x14ac:dyDescent="0.45">
      <c r="A3" s="5">
        <v>1</v>
      </c>
      <c r="B3" s="5" t="s">
        <v>394</v>
      </c>
      <c r="C3" s="5" t="s">
        <v>395</v>
      </c>
      <c r="D3" s="5">
        <v>473.38</v>
      </c>
      <c r="E3" s="5">
        <v>50</v>
      </c>
      <c r="F3" s="5">
        <v>0.89</v>
      </c>
      <c r="G3" s="13"/>
      <c r="H3" s="13">
        <v>16.666666666666664</v>
      </c>
      <c r="I3" s="13">
        <v>148.33333333333331</v>
      </c>
      <c r="J3" s="14">
        <v>150</v>
      </c>
      <c r="K3" s="5" t="s">
        <v>66</v>
      </c>
    </row>
    <row r="4" spans="1:11" x14ac:dyDescent="0.45">
      <c r="A4" s="5">
        <v>2</v>
      </c>
      <c r="B4" s="5" t="s">
        <v>53</v>
      </c>
      <c r="C4" s="5" t="s">
        <v>396</v>
      </c>
      <c r="D4" s="5">
        <v>144.21</v>
      </c>
      <c r="E4" s="5">
        <v>250</v>
      </c>
      <c r="F4" s="5"/>
      <c r="G4" s="13">
        <v>0.48499999999999999</v>
      </c>
      <c r="H4" s="13">
        <v>83.333333333333329</v>
      </c>
      <c r="I4" s="13"/>
      <c r="J4" s="14">
        <v>85</v>
      </c>
      <c r="K4" s="5" t="s">
        <v>63</v>
      </c>
    </row>
    <row r="5" spans="1:11" x14ac:dyDescent="0.45">
      <c r="A5" s="5">
        <v>3</v>
      </c>
      <c r="B5" s="5" t="s">
        <v>55</v>
      </c>
      <c r="C5" s="5" t="s">
        <v>397</v>
      </c>
      <c r="D5" s="5">
        <v>454.43</v>
      </c>
      <c r="E5" s="5">
        <v>25</v>
      </c>
      <c r="F5" s="5">
        <v>0.4</v>
      </c>
      <c r="G5" s="13">
        <v>8.8019568510471199E-2</v>
      </c>
      <c r="H5" s="13">
        <v>8.3330000000000002</v>
      </c>
      <c r="I5" s="13" t="s">
        <v>456</v>
      </c>
      <c r="J5" s="14">
        <v>100</v>
      </c>
      <c r="K5" s="5" t="s">
        <v>64</v>
      </c>
    </row>
    <row r="6" spans="1:11" x14ac:dyDescent="0.45">
      <c r="A6" s="5">
        <v>4</v>
      </c>
      <c r="B6" s="5" t="s">
        <v>52</v>
      </c>
      <c r="C6" s="5" t="s">
        <v>398</v>
      </c>
      <c r="D6" s="5">
        <v>287.35000000000002</v>
      </c>
      <c r="E6" s="5">
        <v>12</v>
      </c>
      <c r="F6" s="5">
        <v>0.05</v>
      </c>
      <c r="G6" s="13">
        <v>0.156</v>
      </c>
      <c r="H6" s="13">
        <v>4</v>
      </c>
      <c r="I6" s="13">
        <v>2</v>
      </c>
      <c r="J6" s="14">
        <v>4</v>
      </c>
      <c r="K6" s="5" t="s">
        <v>65</v>
      </c>
    </row>
    <row r="7" spans="1:11" x14ac:dyDescent="0.45">
      <c r="A7" s="5">
        <v>5</v>
      </c>
      <c r="B7" s="5" t="s">
        <v>399</v>
      </c>
      <c r="C7" s="5" t="s">
        <v>400</v>
      </c>
      <c r="D7" s="5">
        <v>270.20729999999998</v>
      </c>
      <c r="E7" s="5">
        <v>7</v>
      </c>
      <c r="F7" s="5">
        <v>0.375</v>
      </c>
      <c r="G7" s="13"/>
      <c r="H7" s="13">
        <v>2.333333333333333</v>
      </c>
      <c r="I7" s="13">
        <v>8.75</v>
      </c>
      <c r="J7" s="14">
        <v>9</v>
      </c>
      <c r="K7" s="5" t="s">
        <v>68</v>
      </c>
    </row>
    <row r="8" spans="1:11" x14ac:dyDescent="0.45">
      <c r="A8" s="5">
        <v>6</v>
      </c>
      <c r="B8" s="5" t="s">
        <v>92</v>
      </c>
      <c r="C8" s="5" t="s">
        <v>401</v>
      </c>
      <c r="D8" s="5">
        <v>152.17699999999999</v>
      </c>
      <c r="E8" s="5">
        <v>50</v>
      </c>
      <c r="F8" s="5"/>
      <c r="G8" s="13">
        <v>0.36099999999999999</v>
      </c>
      <c r="H8" s="13">
        <v>16.666666666666668</v>
      </c>
      <c r="I8" s="13">
        <v>0</v>
      </c>
      <c r="J8" s="14">
        <v>17</v>
      </c>
      <c r="K8" s="5" t="s">
        <v>63</v>
      </c>
    </row>
    <row r="9" spans="1:11" x14ac:dyDescent="0.45">
      <c r="A9" s="5">
        <v>7</v>
      </c>
      <c r="B9" s="5" t="s">
        <v>91</v>
      </c>
      <c r="C9" s="5" t="s">
        <v>402</v>
      </c>
      <c r="D9" s="5">
        <v>1202.635</v>
      </c>
      <c r="E9" s="5">
        <v>50</v>
      </c>
      <c r="F9" s="5">
        <v>0.9</v>
      </c>
      <c r="G9" s="13"/>
      <c r="H9" s="13">
        <v>16.666666666666664</v>
      </c>
      <c r="I9" s="13">
        <v>150</v>
      </c>
      <c r="J9" s="14">
        <v>150</v>
      </c>
      <c r="K9" s="5" t="s">
        <v>68</v>
      </c>
    </row>
    <row r="10" spans="1:11" x14ac:dyDescent="0.45">
      <c r="A10" s="5">
        <v>8</v>
      </c>
      <c r="B10" s="5" t="s">
        <v>403</v>
      </c>
      <c r="C10" s="5" t="s">
        <v>404</v>
      </c>
      <c r="D10" s="5">
        <v>914.18700000000001</v>
      </c>
      <c r="E10" s="5">
        <v>2.5</v>
      </c>
      <c r="F10" s="5">
        <v>0.91</v>
      </c>
      <c r="G10" s="13"/>
      <c r="H10" s="13">
        <v>0.83333333333333326</v>
      </c>
      <c r="I10" s="13">
        <v>7.5833333333333348</v>
      </c>
      <c r="J10" s="14">
        <v>8</v>
      </c>
      <c r="K10" s="5" t="s">
        <v>68</v>
      </c>
    </row>
    <row r="11" spans="1:11" x14ac:dyDescent="0.45">
      <c r="A11" s="5">
        <v>9</v>
      </c>
      <c r="B11" s="5" t="s">
        <v>405</v>
      </c>
      <c r="C11" s="5" t="s">
        <v>406</v>
      </c>
      <c r="D11" s="5">
        <v>303.399</v>
      </c>
      <c r="E11" s="5">
        <v>50</v>
      </c>
      <c r="F11" s="5">
        <v>0.15</v>
      </c>
      <c r="G11" s="13"/>
      <c r="H11" s="13">
        <v>16.666666666666668</v>
      </c>
      <c r="I11" s="13">
        <v>25</v>
      </c>
      <c r="J11" s="14">
        <v>25</v>
      </c>
      <c r="K11" s="5" t="s">
        <v>68</v>
      </c>
    </row>
    <row r="12" spans="1:11" x14ac:dyDescent="0.45">
      <c r="A12" s="5">
        <v>10</v>
      </c>
      <c r="B12" s="5" t="s">
        <v>86</v>
      </c>
      <c r="C12" s="5" t="s">
        <v>407</v>
      </c>
      <c r="D12" s="5">
        <v>444.51600000000002</v>
      </c>
      <c r="E12" s="5">
        <v>150</v>
      </c>
      <c r="F12" s="5">
        <v>0.41499999999999998</v>
      </c>
      <c r="G12" s="13"/>
      <c r="H12" s="13">
        <v>49.999999999999993</v>
      </c>
      <c r="I12" s="13">
        <v>207.5</v>
      </c>
      <c r="J12" s="14">
        <v>200</v>
      </c>
      <c r="K12" s="5" t="s">
        <v>68</v>
      </c>
    </row>
    <row r="13" spans="1:11" x14ac:dyDescent="0.45">
      <c r="A13" s="5">
        <v>11</v>
      </c>
      <c r="B13" s="5" t="s">
        <v>87</v>
      </c>
      <c r="C13" s="5" t="s">
        <v>88</v>
      </c>
      <c r="D13" s="5">
        <v>558.63900000000001</v>
      </c>
      <c r="E13" s="5">
        <v>20</v>
      </c>
      <c r="F13" s="5"/>
      <c r="G13" s="13"/>
      <c r="H13" s="13">
        <v>6.6666666666666661</v>
      </c>
      <c r="I13" s="13"/>
      <c r="J13" s="14">
        <v>7</v>
      </c>
      <c r="K13" s="5" t="s">
        <v>68</v>
      </c>
    </row>
    <row r="14" spans="1:11" x14ac:dyDescent="0.45">
      <c r="A14" s="5">
        <v>12</v>
      </c>
      <c r="B14" s="5" t="s">
        <v>89</v>
      </c>
      <c r="C14" s="5" t="s">
        <v>408</v>
      </c>
      <c r="D14" s="5">
        <v>450.91</v>
      </c>
      <c r="E14" s="5">
        <v>25</v>
      </c>
      <c r="F14" s="5">
        <v>0.41199999999999998</v>
      </c>
      <c r="G14" s="13"/>
      <c r="H14" s="13">
        <v>8.3333333333333339</v>
      </c>
      <c r="I14" s="13">
        <v>34.333333333333336</v>
      </c>
      <c r="J14" s="14">
        <v>35</v>
      </c>
      <c r="K14" s="5" t="s">
        <v>68</v>
      </c>
    </row>
    <row r="15" spans="1:11" x14ac:dyDescent="0.45">
      <c r="A15" s="5">
        <v>13</v>
      </c>
      <c r="B15" s="5" t="s">
        <v>90</v>
      </c>
      <c r="C15" s="5" t="s">
        <v>409</v>
      </c>
      <c r="D15" s="5">
        <v>250.33</v>
      </c>
      <c r="E15" s="5">
        <v>4.5</v>
      </c>
      <c r="F15" s="5">
        <v>0.01</v>
      </c>
      <c r="G15" s="13">
        <v>5.5E-2</v>
      </c>
      <c r="H15" s="13">
        <v>1.5</v>
      </c>
      <c r="I15" s="13">
        <v>0.15</v>
      </c>
      <c r="J15" s="14">
        <v>2</v>
      </c>
      <c r="K15" s="5" t="s">
        <v>67</v>
      </c>
    </row>
    <row r="16" spans="1:11" x14ac:dyDescent="0.45">
      <c r="A16" s="5">
        <v>14</v>
      </c>
      <c r="B16" s="5" t="s">
        <v>93</v>
      </c>
      <c r="C16" s="5" t="s">
        <v>410</v>
      </c>
      <c r="D16" s="5">
        <v>273.24</v>
      </c>
      <c r="E16" s="5">
        <v>100</v>
      </c>
      <c r="F16" s="5"/>
      <c r="G16" s="13"/>
      <c r="H16" s="13">
        <v>33.333333333333336</v>
      </c>
      <c r="I16" s="13"/>
      <c r="J16" s="14">
        <v>35</v>
      </c>
      <c r="K16" s="5" t="s">
        <v>68</v>
      </c>
    </row>
    <row r="17" spans="1:11" x14ac:dyDescent="0.45">
      <c r="A17" s="5">
        <v>15</v>
      </c>
      <c r="B17" s="5" t="s">
        <v>69</v>
      </c>
      <c r="C17" s="5" t="s">
        <v>411</v>
      </c>
      <c r="D17" s="5">
        <v>118.425</v>
      </c>
      <c r="E17" s="5">
        <v>20</v>
      </c>
      <c r="F17" s="5">
        <v>0.48</v>
      </c>
      <c r="G17" s="13"/>
      <c r="H17" s="13">
        <v>6.6666666666666661</v>
      </c>
      <c r="I17" s="13">
        <v>32.015999999999998</v>
      </c>
      <c r="J17" s="14">
        <v>32</v>
      </c>
      <c r="K17" s="5" t="s">
        <v>68</v>
      </c>
    </row>
    <row r="18" spans="1:11" x14ac:dyDescent="0.45">
      <c r="A18" s="5">
        <v>16</v>
      </c>
      <c r="B18" s="5" t="s">
        <v>70</v>
      </c>
      <c r="C18" s="5" t="s">
        <v>412</v>
      </c>
      <c r="D18" s="5">
        <v>129.1636</v>
      </c>
      <c r="E18" s="5">
        <v>500</v>
      </c>
      <c r="F18" s="5">
        <v>0.1</v>
      </c>
      <c r="G18" s="13">
        <v>4.2590000000000003</v>
      </c>
      <c r="H18" s="13">
        <v>166.66666666666669</v>
      </c>
      <c r="I18" s="13">
        <v>166.66666666666671</v>
      </c>
      <c r="J18" s="14">
        <v>167</v>
      </c>
      <c r="K18" s="5" t="s">
        <v>67</v>
      </c>
    </row>
    <row r="19" spans="1:11" x14ac:dyDescent="0.45">
      <c r="A19" s="5">
        <v>17</v>
      </c>
      <c r="B19" s="5" t="s">
        <v>71</v>
      </c>
      <c r="C19" s="5" t="s">
        <v>94</v>
      </c>
      <c r="D19" s="5">
        <v>314.39999999999998</v>
      </c>
      <c r="E19" s="5">
        <v>150</v>
      </c>
      <c r="F19" s="5">
        <v>0.26</v>
      </c>
      <c r="G19" s="13" t="s">
        <v>413</v>
      </c>
      <c r="H19" s="13">
        <v>50</v>
      </c>
      <c r="I19" s="13">
        <v>130</v>
      </c>
      <c r="J19" s="14">
        <v>130</v>
      </c>
      <c r="K19" s="5" t="s">
        <v>68</v>
      </c>
    </row>
    <row r="20" spans="1:11" x14ac:dyDescent="0.45">
      <c r="A20" s="5">
        <v>18</v>
      </c>
      <c r="B20" s="5" t="s">
        <v>414</v>
      </c>
      <c r="C20" s="5" t="s">
        <v>415</v>
      </c>
      <c r="D20" s="5">
        <v>161.19999999999999</v>
      </c>
      <c r="E20" s="5">
        <v>330</v>
      </c>
      <c r="F20" s="5">
        <v>0.65</v>
      </c>
      <c r="G20" s="13"/>
      <c r="H20" s="13">
        <v>110.00000000000001</v>
      </c>
      <c r="I20" s="13">
        <v>715.00000000000011</v>
      </c>
      <c r="J20" s="14">
        <v>715.00000000000011</v>
      </c>
      <c r="K20" s="5" t="s">
        <v>68</v>
      </c>
    </row>
    <row r="21" spans="1:11" x14ac:dyDescent="0.45">
      <c r="A21" s="5">
        <v>19</v>
      </c>
      <c r="B21" s="5" t="s">
        <v>416</v>
      </c>
      <c r="C21" s="5" t="s">
        <v>417</v>
      </c>
      <c r="D21" s="5">
        <v>200.16900000000001</v>
      </c>
      <c r="E21" s="5">
        <v>20</v>
      </c>
      <c r="F21" s="5"/>
      <c r="G21" s="13"/>
      <c r="H21" s="13">
        <v>6.6666666666666661</v>
      </c>
      <c r="I21" s="13"/>
      <c r="J21" s="14">
        <v>7</v>
      </c>
      <c r="K21" s="5" t="s">
        <v>68</v>
      </c>
    </row>
    <row r="22" spans="1:11" x14ac:dyDescent="0.45">
      <c r="A22" s="5">
        <v>20</v>
      </c>
      <c r="B22" s="5" t="s">
        <v>54</v>
      </c>
      <c r="C22" s="5" t="s">
        <v>13</v>
      </c>
      <c r="D22" s="5">
        <v>130.02000000000001</v>
      </c>
      <c r="E22" s="5">
        <v>40</v>
      </c>
      <c r="F22" s="5"/>
      <c r="G22" s="13">
        <v>1.34</v>
      </c>
      <c r="H22" s="13">
        <v>13.333333333333334</v>
      </c>
      <c r="I22" s="13"/>
      <c r="J22" s="14">
        <v>14</v>
      </c>
      <c r="K22" s="5" t="s">
        <v>67</v>
      </c>
    </row>
    <row r="23" spans="1:11" x14ac:dyDescent="0.45">
      <c r="A23" s="5">
        <v>21</v>
      </c>
      <c r="B23" s="5" t="s">
        <v>14</v>
      </c>
      <c r="C23" s="5" t="s">
        <v>15</v>
      </c>
      <c r="D23" s="5">
        <v>359.3501</v>
      </c>
      <c r="E23" s="5">
        <v>500</v>
      </c>
      <c r="F23" s="5">
        <v>2.5999999999999999E-2</v>
      </c>
      <c r="G23" s="13"/>
      <c r="H23" s="13">
        <v>166.66666666666666</v>
      </c>
      <c r="I23" s="13">
        <v>43.333333333333329</v>
      </c>
      <c r="J23" s="14">
        <v>44</v>
      </c>
      <c r="K23" s="5" t="s">
        <v>68</v>
      </c>
    </row>
    <row r="24" spans="1:11" x14ac:dyDescent="0.45">
      <c r="A24" s="5">
        <v>22</v>
      </c>
      <c r="B24" s="5" t="s">
        <v>16</v>
      </c>
      <c r="C24" s="5" t="s">
        <v>17</v>
      </c>
      <c r="D24" s="5">
        <v>408.87299999999999</v>
      </c>
      <c r="E24" s="5">
        <v>10</v>
      </c>
      <c r="F24" s="5">
        <v>0.21</v>
      </c>
      <c r="G24" s="13"/>
      <c r="H24" s="13">
        <v>3.333333333333333</v>
      </c>
      <c r="I24" s="13">
        <v>6.9999999999999991</v>
      </c>
      <c r="J24" s="14">
        <v>6.9999999999999991</v>
      </c>
      <c r="K24" s="5" t="s">
        <v>68</v>
      </c>
    </row>
    <row r="25" spans="1:11" x14ac:dyDescent="0.45">
      <c r="A25" s="5">
        <v>23</v>
      </c>
      <c r="B25" s="5" t="s">
        <v>18</v>
      </c>
      <c r="C25" s="5" t="s">
        <v>19</v>
      </c>
      <c r="D25" s="5">
        <v>285.23</v>
      </c>
      <c r="E25" s="5">
        <v>10</v>
      </c>
      <c r="F25" s="5"/>
      <c r="G25" s="13"/>
      <c r="H25" s="13">
        <v>3.333333333333333</v>
      </c>
      <c r="I25" s="13"/>
      <c r="J25" s="14">
        <v>4</v>
      </c>
      <c r="K25" s="5" t="s">
        <v>68</v>
      </c>
    </row>
    <row r="26" spans="1:11" x14ac:dyDescent="0.45">
      <c r="A26" s="5">
        <v>24</v>
      </c>
      <c r="B26" s="5" t="s">
        <v>20</v>
      </c>
      <c r="C26" s="5" t="s">
        <v>21</v>
      </c>
      <c r="D26" s="5">
        <v>433.49470000000002</v>
      </c>
      <c r="E26" s="5">
        <v>500</v>
      </c>
      <c r="F26" s="5">
        <v>0.06</v>
      </c>
      <c r="G26" s="13"/>
      <c r="H26" s="13">
        <v>166.66666666666666</v>
      </c>
      <c r="I26" s="13">
        <v>100</v>
      </c>
      <c r="J26" s="14">
        <v>100</v>
      </c>
      <c r="K26" s="5" t="s">
        <v>68</v>
      </c>
    </row>
    <row r="27" spans="1:11" x14ac:dyDescent="0.45">
      <c r="A27" s="5">
        <v>25</v>
      </c>
      <c r="B27" s="5" t="s">
        <v>22</v>
      </c>
      <c r="C27" s="5" t="s">
        <v>23</v>
      </c>
      <c r="D27" s="5">
        <v>488.00599999999997</v>
      </c>
      <c r="E27" s="5">
        <v>140</v>
      </c>
      <c r="F27" s="5"/>
      <c r="G27" s="13"/>
      <c r="H27" s="13">
        <v>46.666666666666664</v>
      </c>
      <c r="I27" s="13"/>
      <c r="J27" s="14">
        <v>47</v>
      </c>
      <c r="K27" s="5" t="s">
        <v>68</v>
      </c>
    </row>
    <row r="28" spans="1:11" x14ac:dyDescent="0.45">
      <c r="A28" s="5">
        <v>26</v>
      </c>
      <c r="B28" s="5" t="s">
        <v>24</v>
      </c>
      <c r="C28" s="5" t="s">
        <v>25</v>
      </c>
      <c r="D28" s="5">
        <v>357.78</v>
      </c>
      <c r="E28" s="5">
        <v>50</v>
      </c>
      <c r="F28" s="5"/>
      <c r="G28" s="13">
        <v>1.8166899999999999</v>
      </c>
      <c r="H28" s="13">
        <v>16.666666666666668</v>
      </c>
      <c r="I28" s="13"/>
      <c r="J28" s="14">
        <v>17</v>
      </c>
      <c r="K28" s="5" t="s">
        <v>67</v>
      </c>
    </row>
    <row r="29" spans="1:11" x14ac:dyDescent="0.45">
      <c r="A29" s="5">
        <v>27</v>
      </c>
      <c r="B29" s="5" t="s">
        <v>26</v>
      </c>
      <c r="C29" s="5" t="s">
        <v>27</v>
      </c>
      <c r="D29" s="5">
        <v>311.34199999999998</v>
      </c>
      <c r="E29" s="5">
        <v>150</v>
      </c>
      <c r="F29" s="5"/>
      <c r="G29" s="13"/>
      <c r="H29" s="13">
        <v>50</v>
      </c>
      <c r="I29" s="13"/>
      <c r="J29" s="14">
        <v>50</v>
      </c>
      <c r="K29" s="5" t="s">
        <v>68</v>
      </c>
    </row>
    <row r="30" spans="1:11" x14ac:dyDescent="0.45">
      <c r="A30" s="5">
        <v>28</v>
      </c>
      <c r="B30" s="5" t="s">
        <v>28</v>
      </c>
      <c r="C30" s="5" t="s">
        <v>29</v>
      </c>
      <c r="D30" s="5">
        <v>232.27</v>
      </c>
      <c r="E30" s="5">
        <v>2</v>
      </c>
      <c r="F30" s="5"/>
      <c r="G30" s="13">
        <v>0.216</v>
      </c>
      <c r="H30" s="13">
        <v>0.66666666666666663</v>
      </c>
      <c r="I30" s="13"/>
      <c r="J30" s="14">
        <v>0.7</v>
      </c>
      <c r="K30" s="5" t="s">
        <v>67</v>
      </c>
    </row>
    <row r="31" spans="1:11" x14ac:dyDescent="0.45">
      <c r="A31" s="5">
        <v>29</v>
      </c>
      <c r="B31" s="5" t="s">
        <v>30</v>
      </c>
      <c r="C31" s="5" t="s">
        <v>31</v>
      </c>
      <c r="D31" s="5">
        <v>234.29499999999999</v>
      </c>
      <c r="E31" s="5">
        <v>250</v>
      </c>
      <c r="F31" s="5">
        <v>0.24</v>
      </c>
      <c r="G31" s="13"/>
      <c r="H31" s="13">
        <v>83.333333333333343</v>
      </c>
      <c r="I31" s="13">
        <v>200.00000000000003</v>
      </c>
      <c r="J31" s="14">
        <v>200.00000000000003</v>
      </c>
      <c r="K31" s="5" t="s">
        <v>68</v>
      </c>
    </row>
    <row r="32" spans="1:11" x14ac:dyDescent="0.45">
      <c r="A32" s="5">
        <v>30</v>
      </c>
      <c r="B32" s="5" t="s">
        <v>32</v>
      </c>
      <c r="C32" s="5" t="s">
        <v>33</v>
      </c>
      <c r="D32" s="5">
        <v>320.33710000000002</v>
      </c>
      <c r="E32" s="5">
        <v>180</v>
      </c>
      <c r="F32" s="5"/>
      <c r="G32" s="13"/>
      <c r="H32" s="13">
        <v>60.000000000000007</v>
      </c>
      <c r="I32" s="13"/>
      <c r="J32" s="14">
        <v>60.000000000000007</v>
      </c>
      <c r="K32" s="5" t="s">
        <v>68</v>
      </c>
    </row>
    <row r="33" spans="1:11" x14ac:dyDescent="0.45">
      <c r="A33" s="5">
        <v>31</v>
      </c>
      <c r="B33" s="5" t="s">
        <v>34</v>
      </c>
      <c r="C33" s="5" t="s">
        <v>35</v>
      </c>
      <c r="D33" s="5">
        <v>840.01819999999998</v>
      </c>
      <c r="E33" s="5">
        <v>1</v>
      </c>
      <c r="F33" s="5">
        <v>0.92600000000000005</v>
      </c>
      <c r="G33" s="13"/>
      <c r="H33" s="13">
        <v>0.33333333333333337</v>
      </c>
      <c r="I33" s="13">
        <v>3.0866666666666673</v>
      </c>
      <c r="J33" s="14">
        <v>3</v>
      </c>
      <c r="K33" s="5" t="s">
        <v>68</v>
      </c>
    </row>
    <row r="34" spans="1:11" x14ac:dyDescent="0.45">
      <c r="A34" s="5">
        <v>32</v>
      </c>
      <c r="B34" s="5" t="s">
        <v>36</v>
      </c>
      <c r="C34" s="5" t="s">
        <v>37</v>
      </c>
      <c r="D34" s="5">
        <v>145.54</v>
      </c>
      <c r="E34" s="5">
        <v>5.8</v>
      </c>
      <c r="F34" s="5"/>
      <c r="G34" s="13"/>
      <c r="H34" s="13">
        <v>1.9333333333333333</v>
      </c>
      <c r="I34" s="13"/>
      <c r="J34" s="14">
        <v>2</v>
      </c>
      <c r="K34" s="5" t="s">
        <v>68</v>
      </c>
    </row>
    <row r="35" spans="1:11" x14ac:dyDescent="0.45">
      <c r="A35" s="5">
        <v>33</v>
      </c>
      <c r="B35" s="5" t="s">
        <v>38</v>
      </c>
      <c r="C35" s="5" t="s">
        <v>39</v>
      </c>
      <c r="D35" s="5">
        <v>250.2936</v>
      </c>
      <c r="E35" s="5">
        <v>100</v>
      </c>
      <c r="F35" s="5"/>
      <c r="G35" s="13"/>
      <c r="H35" s="13">
        <v>33.333333333333336</v>
      </c>
      <c r="I35" s="13"/>
      <c r="J35" s="14">
        <v>34</v>
      </c>
      <c r="K35" s="5" t="s">
        <v>68</v>
      </c>
    </row>
    <row r="36" spans="1:11" x14ac:dyDescent="0.45">
      <c r="A36" s="5">
        <v>34</v>
      </c>
      <c r="B36" s="5" t="s">
        <v>40</v>
      </c>
      <c r="C36" s="5" t="s">
        <v>41</v>
      </c>
      <c r="D36" s="5">
        <v>421.41</v>
      </c>
      <c r="E36" s="5">
        <v>5</v>
      </c>
      <c r="F36" s="5"/>
      <c r="G36" s="13"/>
      <c r="H36" s="13">
        <v>1.6666666666666667</v>
      </c>
      <c r="I36" s="13"/>
      <c r="J36" s="14">
        <v>1.7</v>
      </c>
      <c r="K36" s="5" t="s">
        <v>68</v>
      </c>
    </row>
    <row r="37" spans="1:11" x14ac:dyDescent="0.45">
      <c r="A37" s="5">
        <v>35</v>
      </c>
      <c r="B37" s="5" t="s">
        <v>42</v>
      </c>
      <c r="C37" s="5" t="s">
        <v>43</v>
      </c>
      <c r="D37" s="5">
        <v>59.070500000000003</v>
      </c>
      <c r="E37" s="5">
        <v>125</v>
      </c>
      <c r="F37" s="5"/>
      <c r="G37" s="13"/>
      <c r="H37" s="13">
        <v>41.666666666666664</v>
      </c>
      <c r="I37" s="13"/>
      <c r="J37" s="14">
        <v>42</v>
      </c>
      <c r="K37" s="5" t="s">
        <v>68</v>
      </c>
    </row>
    <row r="38" spans="1:11" x14ac:dyDescent="0.45">
      <c r="A38" s="5">
        <v>36</v>
      </c>
      <c r="B38" s="5" t="s">
        <v>44</v>
      </c>
      <c r="C38" s="5" t="s">
        <v>45</v>
      </c>
      <c r="D38" s="5">
        <v>278.3</v>
      </c>
      <c r="E38" s="5">
        <v>400</v>
      </c>
      <c r="F38" s="5"/>
      <c r="G38" s="13">
        <v>4.4909999999999997</v>
      </c>
      <c r="H38" s="13">
        <v>133.33333333333331</v>
      </c>
      <c r="I38" s="13"/>
      <c r="J38" s="14">
        <v>134</v>
      </c>
      <c r="K38" s="5" t="s">
        <v>67</v>
      </c>
    </row>
    <row r="39" spans="1:11" x14ac:dyDescent="0.45">
      <c r="A39" s="5">
        <v>37</v>
      </c>
      <c r="B39" s="5" t="s">
        <v>46</v>
      </c>
      <c r="C39" s="5" t="s">
        <v>47</v>
      </c>
      <c r="D39" s="5">
        <v>305.286</v>
      </c>
      <c r="E39" s="5">
        <v>200</v>
      </c>
      <c r="F39" s="5">
        <v>0.9</v>
      </c>
      <c r="G39" s="13">
        <v>2.2930000000000001</v>
      </c>
      <c r="H39" s="13">
        <v>66.666666666666657</v>
      </c>
      <c r="I39" s="13">
        <v>600</v>
      </c>
      <c r="J39" s="14">
        <v>600</v>
      </c>
      <c r="K39" s="5" t="s">
        <v>67</v>
      </c>
    </row>
    <row r="40" spans="1:11" x14ac:dyDescent="0.45">
      <c r="A40" s="5">
        <v>38</v>
      </c>
      <c r="B40" s="5" t="s">
        <v>48</v>
      </c>
      <c r="C40" s="5" t="s">
        <v>49</v>
      </c>
      <c r="D40" s="5">
        <v>392.572</v>
      </c>
      <c r="E40" s="5">
        <v>250</v>
      </c>
      <c r="F40" s="5">
        <v>0.8</v>
      </c>
      <c r="G40" s="13"/>
      <c r="H40" s="13">
        <v>83.333333333333329</v>
      </c>
      <c r="I40" s="13">
        <v>666.66666666666663</v>
      </c>
      <c r="J40" s="14">
        <v>667</v>
      </c>
      <c r="K40" s="5" t="s">
        <v>68</v>
      </c>
    </row>
    <row r="41" spans="1:11" x14ac:dyDescent="0.45">
      <c r="A41" s="5">
        <v>39</v>
      </c>
      <c r="B41" s="5" t="s">
        <v>50</v>
      </c>
      <c r="C41" s="5" t="s">
        <v>51</v>
      </c>
      <c r="D41" s="5">
        <v>392.572</v>
      </c>
      <c r="E41" s="5">
        <v>250</v>
      </c>
      <c r="F41" s="5">
        <v>0.8</v>
      </c>
      <c r="G41" s="13"/>
      <c r="H41" s="13">
        <v>83.333333333333329</v>
      </c>
      <c r="I41" s="13">
        <v>666.66666666666663</v>
      </c>
      <c r="J41" s="14">
        <v>667</v>
      </c>
      <c r="K41" s="5" t="s">
        <v>68</v>
      </c>
    </row>
    <row r="42" spans="1:11" x14ac:dyDescent="0.45">
      <c r="A42" s="5">
        <v>40</v>
      </c>
      <c r="B42" s="5" t="s">
        <v>82</v>
      </c>
      <c r="C42" s="5" t="s">
        <v>84</v>
      </c>
      <c r="D42" s="5">
        <v>296.19990000000001</v>
      </c>
      <c r="E42" s="5">
        <v>20</v>
      </c>
      <c r="F42" s="5">
        <v>0.03</v>
      </c>
      <c r="G42" s="13"/>
      <c r="H42" s="13">
        <f>表3_5[[#This Row],[Dose (mg)]]/3</f>
        <v>6.666666666666667</v>
      </c>
      <c r="I42" s="13">
        <f>表3_5[[#This Row],[Estimated intestine concentration (µg/ml)]]*10*表3_5[[#This Row],[Fraction excreted in feces]]</f>
        <v>2</v>
      </c>
      <c r="J42" s="14">
        <v>2</v>
      </c>
      <c r="K42" s="5" t="s">
        <v>68</v>
      </c>
    </row>
    <row r="43" spans="1:11" ht="14.35" thickBot="1" x14ac:dyDescent="0.5">
      <c r="A43" s="9">
        <v>41</v>
      </c>
      <c r="B43" s="9" t="s">
        <v>83</v>
      </c>
      <c r="C43" s="9" t="s">
        <v>85</v>
      </c>
      <c r="D43" s="9">
        <v>236.22730000000001</v>
      </c>
      <c r="E43" s="9">
        <v>200</v>
      </c>
      <c r="F43" s="9"/>
      <c r="G43" s="20">
        <v>15.5</v>
      </c>
      <c r="H43" s="20">
        <f>表3_5[[#This Row],[Dose (mg)]]/3</f>
        <v>66.666666666666671</v>
      </c>
      <c r="I43" s="20"/>
      <c r="J43" s="21">
        <v>67</v>
      </c>
      <c r="K43" s="9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B0AE-4FEE-4311-B4B0-DD1E68BA8ACA}">
  <dimension ref="A1:K43"/>
  <sheetViews>
    <sheetView workbookViewId="0">
      <selection activeCell="C10" sqref="C10"/>
    </sheetView>
  </sheetViews>
  <sheetFormatPr defaultColWidth="8.64453125" defaultRowHeight="14" x14ac:dyDescent="0.45"/>
  <cols>
    <col min="1" max="1" width="16.234375" style="10" customWidth="1"/>
    <col min="2" max="2" width="27.64453125" style="10" customWidth="1"/>
    <col min="3" max="16384" width="8.64453125" style="10"/>
  </cols>
  <sheetData>
    <row r="1" spans="1:11" ht="14.35" thickBot="1" x14ac:dyDescent="0.5">
      <c r="A1" s="7" t="s">
        <v>95</v>
      </c>
    </row>
    <row r="2" spans="1:11" s="16" customFormat="1" ht="14.35" thickBot="1" x14ac:dyDescent="0.5">
      <c r="A2" s="17" t="s">
        <v>57</v>
      </c>
      <c r="B2" s="17" t="s">
        <v>424</v>
      </c>
      <c r="C2" s="8"/>
      <c r="D2" s="8"/>
      <c r="E2" s="8"/>
      <c r="F2" s="8"/>
      <c r="G2" s="15"/>
      <c r="H2" s="15"/>
      <c r="I2" s="15"/>
      <c r="J2" s="14"/>
      <c r="K2" s="8"/>
    </row>
    <row r="3" spans="1:11" x14ac:dyDescent="0.45">
      <c r="A3" s="5" t="s">
        <v>0</v>
      </c>
      <c r="B3" s="5" t="s">
        <v>80</v>
      </c>
    </row>
    <row r="4" spans="1:11" x14ac:dyDescent="0.45">
      <c r="A4" s="5" t="s">
        <v>141</v>
      </c>
      <c r="B4" s="5" t="s">
        <v>77</v>
      </c>
    </row>
    <row r="5" spans="1:11" x14ac:dyDescent="0.45">
      <c r="A5" s="5" t="s">
        <v>155</v>
      </c>
      <c r="B5" s="5" t="s">
        <v>79</v>
      </c>
    </row>
    <row r="6" spans="1:11" x14ac:dyDescent="0.45">
      <c r="A6" s="5" t="s">
        <v>179</v>
      </c>
      <c r="B6" s="5" t="s">
        <v>78</v>
      </c>
    </row>
    <row r="7" spans="1:11" x14ac:dyDescent="0.45">
      <c r="A7" s="5" t="s">
        <v>1</v>
      </c>
      <c r="B7" s="5" t="s">
        <v>79</v>
      </c>
    </row>
    <row r="8" spans="1:11" x14ac:dyDescent="0.45">
      <c r="A8" s="5" t="s">
        <v>2</v>
      </c>
      <c r="B8" s="5" t="s">
        <v>77</v>
      </c>
    </row>
    <row r="9" spans="1:11" x14ac:dyDescent="0.45">
      <c r="A9" s="5" t="s">
        <v>3</v>
      </c>
      <c r="B9" s="5" t="s">
        <v>79</v>
      </c>
    </row>
    <row r="10" spans="1:11" x14ac:dyDescent="0.45">
      <c r="A10" s="5" t="s">
        <v>4</v>
      </c>
      <c r="B10" s="5" t="s">
        <v>79</v>
      </c>
    </row>
    <row r="11" spans="1:11" x14ac:dyDescent="0.45">
      <c r="A11" s="5" t="s">
        <v>5</v>
      </c>
      <c r="B11" s="5" t="s">
        <v>79</v>
      </c>
    </row>
    <row r="12" spans="1:11" x14ac:dyDescent="0.45">
      <c r="A12" s="5" t="s">
        <v>6</v>
      </c>
      <c r="B12" s="5" t="s">
        <v>77</v>
      </c>
    </row>
    <row r="13" spans="1:11" x14ac:dyDescent="0.45">
      <c r="A13" s="5" t="s">
        <v>7</v>
      </c>
      <c r="B13" s="5" t="s">
        <v>77</v>
      </c>
    </row>
    <row r="14" spans="1:11" x14ac:dyDescent="0.45">
      <c r="A14" s="5" t="s">
        <v>8</v>
      </c>
      <c r="B14" s="5" t="s">
        <v>79</v>
      </c>
    </row>
    <row r="15" spans="1:11" x14ac:dyDescent="0.45">
      <c r="A15" s="5" t="s">
        <v>9</v>
      </c>
      <c r="B15" s="5" t="s">
        <v>79</v>
      </c>
    </row>
    <row r="16" spans="1:11" x14ac:dyDescent="0.45">
      <c r="A16" s="5" t="s">
        <v>10</v>
      </c>
      <c r="B16" s="5" t="s">
        <v>79</v>
      </c>
    </row>
    <row r="17" spans="1:2" x14ac:dyDescent="0.45">
      <c r="A17" s="5" t="s">
        <v>418</v>
      </c>
      <c r="B17" s="5" t="s">
        <v>79</v>
      </c>
    </row>
    <row r="18" spans="1:2" x14ac:dyDescent="0.45">
      <c r="A18" s="5" t="s">
        <v>419</v>
      </c>
      <c r="B18" s="5" t="s">
        <v>79</v>
      </c>
    </row>
    <row r="19" spans="1:2" x14ac:dyDescent="0.45">
      <c r="A19" s="5" t="s">
        <v>420</v>
      </c>
      <c r="B19" s="5" t="s">
        <v>78</v>
      </c>
    </row>
    <row r="20" spans="1:2" x14ac:dyDescent="0.45">
      <c r="A20" s="5" t="s">
        <v>11</v>
      </c>
      <c r="B20" s="5" t="s">
        <v>79</v>
      </c>
    </row>
    <row r="21" spans="1:2" x14ac:dyDescent="0.45">
      <c r="A21" s="5" t="s">
        <v>12</v>
      </c>
      <c r="B21" s="5" t="s">
        <v>79</v>
      </c>
    </row>
    <row r="22" spans="1:2" x14ac:dyDescent="0.45">
      <c r="A22" s="5" t="s">
        <v>421</v>
      </c>
      <c r="B22" s="5" t="s">
        <v>79</v>
      </c>
    </row>
    <row r="23" spans="1:2" x14ac:dyDescent="0.45">
      <c r="A23" s="5" t="s">
        <v>14</v>
      </c>
      <c r="B23" s="5" t="s">
        <v>79</v>
      </c>
    </row>
    <row r="24" spans="1:2" x14ac:dyDescent="0.45">
      <c r="A24" s="5" t="s">
        <v>16</v>
      </c>
      <c r="B24" s="5" t="s">
        <v>77</v>
      </c>
    </row>
    <row r="25" spans="1:2" x14ac:dyDescent="0.45">
      <c r="A25" s="5" t="s">
        <v>18</v>
      </c>
      <c r="B25" s="5" t="s">
        <v>77</v>
      </c>
    </row>
    <row r="26" spans="1:2" x14ac:dyDescent="0.45">
      <c r="A26" s="5" t="s">
        <v>20</v>
      </c>
      <c r="B26" s="5" t="s">
        <v>77</v>
      </c>
    </row>
    <row r="27" spans="1:2" x14ac:dyDescent="0.45">
      <c r="A27" s="5" t="s">
        <v>22</v>
      </c>
      <c r="B27" s="5" t="s">
        <v>79</v>
      </c>
    </row>
    <row r="28" spans="1:2" x14ac:dyDescent="0.45">
      <c r="A28" s="5" t="s">
        <v>24</v>
      </c>
      <c r="B28" s="5" t="s">
        <v>79</v>
      </c>
    </row>
    <row r="29" spans="1:2" x14ac:dyDescent="0.45">
      <c r="A29" s="5" t="s">
        <v>26</v>
      </c>
      <c r="B29" s="5" t="s">
        <v>79</v>
      </c>
    </row>
    <row r="30" spans="1:2" x14ac:dyDescent="0.45">
      <c r="A30" s="5" t="s">
        <v>28</v>
      </c>
      <c r="B30" s="5" t="s">
        <v>79</v>
      </c>
    </row>
    <row r="31" spans="1:2" x14ac:dyDescent="0.45">
      <c r="A31" s="5" t="s">
        <v>30</v>
      </c>
      <c r="B31" s="5" t="s">
        <v>77</v>
      </c>
    </row>
    <row r="32" spans="1:2" x14ac:dyDescent="0.45">
      <c r="A32" s="5" t="s">
        <v>32</v>
      </c>
      <c r="B32" s="5" t="s">
        <v>79</v>
      </c>
    </row>
    <row r="33" spans="1:2" x14ac:dyDescent="0.45">
      <c r="A33" s="5" t="s">
        <v>34</v>
      </c>
      <c r="B33" s="5" t="s">
        <v>77</v>
      </c>
    </row>
    <row r="34" spans="1:2" x14ac:dyDescent="0.45">
      <c r="A34" s="5" t="s">
        <v>36</v>
      </c>
      <c r="B34" s="5" t="s">
        <v>77</v>
      </c>
    </row>
    <row r="35" spans="1:2" x14ac:dyDescent="0.45">
      <c r="A35" s="5" t="s">
        <v>38</v>
      </c>
      <c r="B35" s="5" t="s">
        <v>77</v>
      </c>
    </row>
    <row r="36" spans="1:2" x14ac:dyDescent="0.45">
      <c r="A36" s="5" t="s">
        <v>40</v>
      </c>
      <c r="B36" s="5" t="s">
        <v>77</v>
      </c>
    </row>
    <row r="37" spans="1:2" x14ac:dyDescent="0.45">
      <c r="A37" s="5" t="s">
        <v>42</v>
      </c>
      <c r="B37" s="5" t="s">
        <v>77</v>
      </c>
    </row>
    <row r="38" spans="1:2" x14ac:dyDescent="0.45">
      <c r="A38" s="5" t="s">
        <v>44</v>
      </c>
      <c r="B38" s="5" t="s">
        <v>77</v>
      </c>
    </row>
    <row r="39" spans="1:2" x14ac:dyDescent="0.45">
      <c r="A39" s="5" t="s">
        <v>46</v>
      </c>
      <c r="B39" s="5" t="s">
        <v>79</v>
      </c>
    </row>
    <row r="40" spans="1:2" x14ac:dyDescent="0.45">
      <c r="A40" s="5" t="s">
        <v>48</v>
      </c>
      <c r="B40" s="22" t="s">
        <v>81</v>
      </c>
    </row>
    <row r="41" spans="1:2" x14ac:dyDescent="0.45">
      <c r="A41" s="5" t="s">
        <v>50</v>
      </c>
      <c r="B41" s="22" t="s">
        <v>81</v>
      </c>
    </row>
    <row r="42" spans="1:2" x14ac:dyDescent="0.45">
      <c r="A42" s="5" t="s">
        <v>422</v>
      </c>
      <c r="B42" s="5" t="s">
        <v>79</v>
      </c>
    </row>
    <row r="43" spans="1:2" ht="14.35" thickBot="1" x14ac:dyDescent="0.5">
      <c r="A43" s="9" t="s">
        <v>423</v>
      </c>
      <c r="B43" s="9" t="s">
        <v>79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8AB0-457D-400E-967E-48E0CB0A3E91}">
  <dimension ref="A1:W28"/>
  <sheetViews>
    <sheetView zoomScaleNormal="100" workbookViewId="0">
      <selection activeCell="A18" sqref="A18"/>
    </sheetView>
  </sheetViews>
  <sheetFormatPr defaultRowHeight="14" x14ac:dyDescent="0.45"/>
  <cols>
    <col min="1" max="1" width="36.76171875" customWidth="1"/>
    <col min="2" max="2" width="17.234375" customWidth="1"/>
    <col min="3" max="4" width="11.41015625" bestFit="1" customWidth="1"/>
    <col min="5" max="5" width="9.64453125" bestFit="1" customWidth="1"/>
    <col min="6" max="6" width="11.17578125" bestFit="1" customWidth="1"/>
    <col min="7" max="7" width="14.05859375" bestFit="1" customWidth="1"/>
    <col min="8" max="8" width="11.8203125" bestFit="1" customWidth="1"/>
    <col min="9" max="9" width="8.3515625" bestFit="1" customWidth="1"/>
    <col min="10" max="10" width="12.17578125" bestFit="1" customWidth="1"/>
    <col min="11" max="11" width="11.41015625" bestFit="1" customWidth="1"/>
    <col min="12" max="12" width="10.05859375" bestFit="1" customWidth="1"/>
    <col min="13" max="13" width="6.64453125" customWidth="1"/>
    <col min="14" max="15" width="11.41015625" bestFit="1" customWidth="1"/>
    <col min="16" max="16" width="9.64453125" bestFit="1" customWidth="1"/>
    <col min="17" max="17" width="11.17578125" bestFit="1" customWidth="1"/>
    <col min="18" max="18" width="14.05859375" bestFit="1" customWidth="1"/>
    <col min="19" max="19" width="11.8203125" bestFit="1" customWidth="1"/>
    <col min="20" max="20" width="8.3515625" bestFit="1" customWidth="1"/>
    <col min="21" max="21" width="12.17578125" bestFit="1" customWidth="1"/>
    <col min="22" max="22" width="11.41015625" bestFit="1" customWidth="1"/>
    <col min="23" max="23" width="10.05859375" bestFit="1" customWidth="1"/>
  </cols>
  <sheetData>
    <row r="1" spans="1:23" ht="14.35" thickBot="1" x14ac:dyDescent="0.5">
      <c r="A1" s="8" t="s">
        <v>342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23" s="7" customFormat="1" ht="16.350000000000001" x14ac:dyDescent="0.45">
      <c r="A2" s="30" t="s">
        <v>305</v>
      </c>
      <c r="B2" s="30" t="s">
        <v>299</v>
      </c>
      <c r="C2" s="30" t="s">
        <v>425</v>
      </c>
      <c r="D2" s="30"/>
      <c r="E2" s="30"/>
      <c r="F2" s="30"/>
      <c r="G2" s="30"/>
      <c r="H2" s="30"/>
      <c r="I2" s="30"/>
      <c r="J2" s="30"/>
      <c r="K2" s="30"/>
      <c r="L2" s="30"/>
      <c r="M2" s="24"/>
      <c r="N2" s="30" t="s">
        <v>338</v>
      </c>
      <c r="O2" s="30"/>
      <c r="P2" s="30"/>
      <c r="Q2" s="30"/>
      <c r="R2" s="30"/>
      <c r="S2" s="30"/>
      <c r="T2" s="30"/>
      <c r="U2" s="30"/>
      <c r="V2" s="30"/>
      <c r="W2" s="30"/>
    </row>
    <row r="3" spans="1:23" s="7" customFormat="1" thickBot="1" x14ac:dyDescent="0.5">
      <c r="A3" s="31"/>
      <c r="B3" s="31"/>
      <c r="C3" s="23" t="s">
        <v>6</v>
      </c>
      <c r="D3" s="23" t="s">
        <v>3</v>
      </c>
      <c r="E3" s="23" t="s">
        <v>0</v>
      </c>
      <c r="F3" s="23" t="s">
        <v>179</v>
      </c>
      <c r="G3" s="23" t="s">
        <v>2</v>
      </c>
      <c r="H3" s="23" t="s">
        <v>155</v>
      </c>
      <c r="I3" s="23" t="s">
        <v>4</v>
      </c>
      <c r="J3" s="23" t="s">
        <v>1</v>
      </c>
      <c r="K3" s="23" t="s">
        <v>141</v>
      </c>
      <c r="L3" s="23" t="s">
        <v>5</v>
      </c>
      <c r="M3" s="25"/>
      <c r="N3" s="25" t="s">
        <v>6</v>
      </c>
      <c r="O3" s="25" t="s">
        <v>3</v>
      </c>
      <c r="P3" s="25" t="s">
        <v>0</v>
      </c>
      <c r="Q3" s="25" t="s">
        <v>179</v>
      </c>
      <c r="R3" s="25" t="s">
        <v>2</v>
      </c>
      <c r="S3" s="25" t="s">
        <v>155</v>
      </c>
      <c r="T3" s="25" t="s">
        <v>4</v>
      </c>
      <c r="U3" s="25" t="s">
        <v>1</v>
      </c>
      <c r="V3" s="25" t="s">
        <v>141</v>
      </c>
      <c r="W3" s="25" t="s">
        <v>5</v>
      </c>
    </row>
    <row r="4" spans="1:23" x14ac:dyDescent="0.45">
      <c r="A4" s="5" t="s">
        <v>108</v>
      </c>
      <c r="B4" s="5" t="s">
        <v>308</v>
      </c>
      <c r="C4" s="5">
        <v>1</v>
      </c>
      <c r="D4" s="5">
        <v>13</v>
      </c>
      <c r="E4" s="5" t="s">
        <v>337</v>
      </c>
      <c r="F4" s="5" t="s">
        <v>337</v>
      </c>
      <c r="G4" s="5">
        <v>40</v>
      </c>
      <c r="H4" s="5">
        <v>1</v>
      </c>
      <c r="I4" s="5">
        <v>13</v>
      </c>
      <c r="J4" s="5">
        <v>40</v>
      </c>
      <c r="K4" s="5">
        <v>40</v>
      </c>
      <c r="L4" s="5">
        <v>121</v>
      </c>
      <c r="N4" s="2">
        <v>364</v>
      </c>
      <c r="O4" s="2" t="s">
        <v>337</v>
      </c>
      <c r="P4" s="2" t="s">
        <v>337</v>
      </c>
      <c r="Q4" s="2" t="s">
        <v>337</v>
      </c>
      <c r="R4" s="2" t="s">
        <v>337</v>
      </c>
      <c r="S4" s="2">
        <v>121</v>
      </c>
      <c r="T4" s="2" t="s">
        <v>337</v>
      </c>
      <c r="U4" s="2">
        <v>364</v>
      </c>
      <c r="V4" s="2" t="s">
        <v>337</v>
      </c>
      <c r="W4" s="2" t="s">
        <v>337</v>
      </c>
    </row>
    <row r="5" spans="1:23" x14ac:dyDescent="0.45">
      <c r="A5" s="5" t="s">
        <v>135</v>
      </c>
      <c r="B5" s="5" t="s">
        <v>306</v>
      </c>
      <c r="C5" s="5">
        <v>0.5</v>
      </c>
      <c r="D5" s="5" t="s">
        <v>337</v>
      </c>
      <c r="E5" s="5">
        <v>0.5</v>
      </c>
      <c r="F5" s="5">
        <v>1</v>
      </c>
      <c r="G5" s="5">
        <v>0.5</v>
      </c>
      <c r="H5" s="5">
        <v>1</v>
      </c>
      <c r="I5" s="5">
        <v>40</v>
      </c>
      <c r="J5" s="5">
        <v>4</v>
      </c>
      <c r="K5" s="5">
        <v>1</v>
      </c>
      <c r="L5" s="5">
        <v>1</v>
      </c>
      <c r="N5" s="2">
        <v>40</v>
      </c>
      <c r="O5" s="2" t="s">
        <v>337</v>
      </c>
      <c r="P5" s="2" t="s">
        <v>337</v>
      </c>
      <c r="Q5" s="2" t="s">
        <v>337</v>
      </c>
      <c r="R5" s="2" t="s">
        <v>337</v>
      </c>
      <c r="S5" s="2" t="s">
        <v>337</v>
      </c>
      <c r="T5" s="2" t="s">
        <v>337</v>
      </c>
      <c r="U5" s="2">
        <v>121</v>
      </c>
      <c r="V5" s="2" t="s">
        <v>337</v>
      </c>
      <c r="W5" s="2" t="s">
        <v>337</v>
      </c>
    </row>
    <row r="6" spans="1:23" x14ac:dyDescent="0.45">
      <c r="A6" s="5" t="s">
        <v>302</v>
      </c>
      <c r="B6" s="5" t="s">
        <v>307</v>
      </c>
      <c r="C6" s="5">
        <v>40</v>
      </c>
      <c r="D6" s="5">
        <v>13</v>
      </c>
      <c r="E6" s="5">
        <v>40</v>
      </c>
      <c r="F6" s="5">
        <v>364</v>
      </c>
      <c r="G6" s="5" t="s">
        <v>337</v>
      </c>
      <c r="H6" s="5">
        <v>1</v>
      </c>
      <c r="I6" s="5">
        <v>13</v>
      </c>
      <c r="J6" s="5">
        <v>40</v>
      </c>
      <c r="K6" s="5" t="s">
        <v>337</v>
      </c>
      <c r="L6" s="5">
        <v>40</v>
      </c>
      <c r="N6" s="2">
        <v>40</v>
      </c>
      <c r="O6" s="2" t="s">
        <v>337</v>
      </c>
      <c r="P6" s="2" t="s">
        <v>337</v>
      </c>
      <c r="Q6" s="2" t="s">
        <v>337</v>
      </c>
      <c r="R6" s="2" t="s">
        <v>337</v>
      </c>
      <c r="S6" s="2">
        <v>121</v>
      </c>
      <c r="T6" s="2">
        <v>40</v>
      </c>
      <c r="U6" s="2">
        <v>364</v>
      </c>
      <c r="V6" s="2" t="s">
        <v>337</v>
      </c>
      <c r="W6" s="2" t="s">
        <v>337</v>
      </c>
    </row>
    <row r="7" spans="1:23" x14ac:dyDescent="0.45">
      <c r="A7" s="5" t="s">
        <v>303</v>
      </c>
      <c r="B7" s="5" t="s">
        <v>309</v>
      </c>
      <c r="C7" s="5">
        <v>40</v>
      </c>
      <c r="D7" s="5">
        <v>40</v>
      </c>
      <c r="E7" s="5" t="s">
        <v>337</v>
      </c>
      <c r="F7" s="5" t="s">
        <v>337</v>
      </c>
      <c r="G7" s="5">
        <v>121</v>
      </c>
      <c r="H7" s="5">
        <v>40</v>
      </c>
      <c r="I7" s="5">
        <v>40</v>
      </c>
      <c r="J7" s="5">
        <v>13</v>
      </c>
      <c r="K7" s="5" t="s">
        <v>337</v>
      </c>
      <c r="L7" s="5" t="s">
        <v>337</v>
      </c>
      <c r="N7" s="2">
        <v>121</v>
      </c>
      <c r="O7" s="2" t="s">
        <v>337</v>
      </c>
      <c r="P7" s="2" t="s">
        <v>337</v>
      </c>
      <c r="Q7" s="2" t="s">
        <v>337</v>
      </c>
      <c r="R7" s="2" t="s">
        <v>337</v>
      </c>
      <c r="S7" s="2">
        <v>364</v>
      </c>
      <c r="T7" s="2" t="s">
        <v>337</v>
      </c>
      <c r="U7" s="2">
        <v>121</v>
      </c>
      <c r="V7" s="2" t="s">
        <v>337</v>
      </c>
      <c r="W7" s="2" t="s">
        <v>337</v>
      </c>
    </row>
    <row r="8" spans="1:23" x14ac:dyDescent="0.45">
      <c r="A8" s="5" t="s">
        <v>138</v>
      </c>
      <c r="B8" s="5" t="s">
        <v>310</v>
      </c>
      <c r="C8" s="5">
        <v>13</v>
      </c>
      <c r="D8" s="5" t="s">
        <v>337</v>
      </c>
      <c r="E8" s="5" t="s">
        <v>337</v>
      </c>
      <c r="F8" s="5">
        <v>364</v>
      </c>
      <c r="G8" s="5">
        <v>1</v>
      </c>
      <c r="H8" s="5">
        <v>0.5</v>
      </c>
      <c r="I8" s="5">
        <v>4</v>
      </c>
      <c r="J8" s="5">
        <v>4</v>
      </c>
      <c r="K8" s="5" t="s">
        <v>337</v>
      </c>
      <c r="L8" s="5">
        <v>4</v>
      </c>
      <c r="N8" s="2">
        <v>40</v>
      </c>
      <c r="O8" s="2" t="s">
        <v>337</v>
      </c>
      <c r="P8" s="2" t="s">
        <v>337</v>
      </c>
      <c r="Q8" s="2" t="s">
        <v>337</v>
      </c>
      <c r="R8" s="2" t="s">
        <v>337</v>
      </c>
      <c r="S8" s="2">
        <v>40</v>
      </c>
      <c r="T8" s="2" t="s">
        <v>337</v>
      </c>
      <c r="U8" s="2">
        <v>121</v>
      </c>
      <c r="V8" s="2" t="s">
        <v>337</v>
      </c>
      <c r="W8" s="2" t="s">
        <v>337</v>
      </c>
    </row>
    <row r="9" spans="1:23" x14ac:dyDescent="0.45">
      <c r="A9" s="5" t="s">
        <v>131</v>
      </c>
      <c r="B9" s="5" t="s">
        <v>311</v>
      </c>
      <c r="C9" s="5">
        <v>4</v>
      </c>
      <c r="D9" s="5" t="s">
        <v>337</v>
      </c>
      <c r="E9" s="5" t="s">
        <v>337</v>
      </c>
      <c r="F9" s="5" t="s">
        <v>337</v>
      </c>
      <c r="G9" s="5">
        <v>364</v>
      </c>
      <c r="H9" s="5">
        <v>13</v>
      </c>
      <c r="I9" s="5" t="s">
        <v>337</v>
      </c>
      <c r="J9" s="5">
        <v>1</v>
      </c>
      <c r="K9" s="5" t="s">
        <v>337</v>
      </c>
      <c r="L9" s="5" t="s">
        <v>337</v>
      </c>
      <c r="N9" s="2">
        <v>40</v>
      </c>
      <c r="O9" s="2" t="s">
        <v>337</v>
      </c>
      <c r="P9" s="2" t="s">
        <v>337</v>
      </c>
      <c r="Q9" s="2" t="s">
        <v>337</v>
      </c>
      <c r="R9" s="2" t="s">
        <v>337</v>
      </c>
      <c r="S9" s="2">
        <v>40</v>
      </c>
      <c r="T9" s="2" t="s">
        <v>337</v>
      </c>
      <c r="U9" s="2">
        <v>40</v>
      </c>
      <c r="V9" s="2" t="s">
        <v>337</v>
      </c>
      <c r="W9" s="2" t="s">
        <v>337</v>
      </c>
    </row>
    <row r="10" spans="1:23" x14ac:dyDescent="0.45">
      <c r="A10" s="5" t="s">
        <v>99</v>
      </c>
      <c r="B10" s="5" t="s">
        <v>312</v>
      </c>
      <c r="C10" s="5">
        <v>0.5</v>
      </c>
      <c r="D10" s="5">
        <v>1</v>
      </c>
      <c r="E10" s="5">
        <v>1</v>
      </c>
      <c r="F10" s="5">
        <v>1</v>
      </c>
      <c r="G10" s="5" t="s">
        <v>337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N10" s="2">
        <v>121</v>
      </c>
      <c r="O10" s="2" t="s">
        <v>337</v>
      </c>
      <c r="P10" s="2" t="s">
        <v>337</v>
      </c>
      <c r="Q10" s="2" t="s">
        <v>337</v>
      </c>
      <c r="R10" s="2" t="s">
        <v>337</v>
      </c>
      <c r="S10" s="2">
        <v>121</v>
      </c>
      <c r="T10" s="2" t="s">
        <v>337</v>
      </c>
      <c r="U10" s="2">
        <v>13</v>
      </c>
      <c r="V10" s="2" t="s">
        <v>337</v>
      </c>
      <c r="W10" s="2" t="s">
        <v>337</v>
      </c>
    </row>
    <row r="11" spans="1:23" x14ac:dyDescent="0.45">
      <c r="A11" s="5" t="s">
        <v>106</v>
      </c>
      <c r="B11" s="5" t="s">
        <v>313</v>
      </c>
      <c r="C11" s="5">
        <v>40</v>
      </c>
      <c r="D11" s="5">
        <v>1</v>
      </c>
      <c r="E11" s="5">
        <v>1</v>
      </c>
      <c r="F11" s="5" t="s">
        <v>337</v>
      </c>
      <c r="G11" s="5">
        <v>1</v>
      </c>
      <c r="H11" s="5">
        <v>13</v>
      </c>
      <c r="I11" s="5" t="s">
        <v>337</v>
      </c>
      <c r="J11" s="5">
        <v>1</v>
      </c>
      <c r="K11" s="5">
        <v>1</v>
      </c>
      <c r="L11" s="5" t="s">
        <v>337</v>
      </c>
      <c r="N11" s="2">
        <v>40</v>
      </c>
      <c r="O11" s="2" t="s">
        <v>337</v>
      </c>
      <c r="P11" s="2" t="s">
        <v>337</v>
      </c>
      <c r="Q11" s="2" t="s">
        <v>337</v>
      </c>
      <c r="R11" s="2" t="s">
        <v>337</v>
      </c>
      <c r="S11" s="2" t="s">
        <v>337</v>
      </c>
      <c r="T11" s="2" t="s">
        <v>337</v>
      </c>
      <c r="U11" s="2">
        <v>364</v>
      </c>
      <c r="V11" s="2" t="s">
        <v>337</v>
      </c>
      <c r="W11" s="2" t="s">
        <v>337</v>
      </c>
    </row>
    <row r="12" spans="1:23" x14ac:dyDescent="0.45">
      <c r="A12" s="5" t="s">
        <v>137</v>
      </c>
      <c r="B12" s="5" t="s">
        <v>314</v>
      </c>
      <c r="C12" s="5">
        <v>121</v>
      </c>
      <c r="D12" s="5" t="s">
        <v>337</v>
      </c>
      <c r="E12" s="5">
        <v>4</v>
      </c>
      <c r="F12" s="5" t="s">
        <v>337</v>
      </c>
      <c r="G12" s="5" t="s">
        <v>337</v>
      </c>
      <c r="H12" s="5" t="s">
        <v>337</v>
      </c>
      <c r="I12" s="5">
        <v>364</v>
      </c>
      <c r="J12" s="5">
        <v>4</v>
      </c>
      <c r="K12" s="5" t="s">
        <v>337</v>
      </c>
      <c r="L12" s="5" t="s">
        <v>337</v>
      </c>
      <c r="N12" s="2">
        <v>364</v>
      </c>
      <c r="O12" s="2" t="s">
        <v>337</v>
      </c>
      <c r="P12" s="2" t="s">
        <v>337</v>
      </c>
      <c r="Q12" s="2" t="s">
        <v>337</v>
      </c>
      <c r="R12" s="2" t="s">
        <v>337</v>
      </c>
      <c r="S12" s="2" t="s">
        <v>337</v>
      </c>
      <c r="T12" s="2" t="s">
        <v>337</v>
      </c>
      <c r="U12" s="2">
        <v>121</v>
      </c>
      <c r="V12" s="2" t="s">
        <v>337</v>
      </c>
      <c r="W12" s="2" t="s">
        <v>337</v>
      </c>
    </row>
    <row r="13" spans="1:23" x14ac:dyDescent="0.45">
      <c r="A13" s="5" t="s">
        <v>117</v>
      </c>
      <c r="B13" s="5" t="s">
        <v>315</v>
      </c>
      <c r="C13" s="5">
        <v>40</v>
      </c>
      <c r="D13" s="5">
        <v>364</v>
      </c>
      <c r="E13" s="5">
        <v>13</v>
      </c>
      <c r="F13" s="5" t="s">
        <v>337</v>
      </c>
      <c r="G13" s="5" t="s">
        <v>337</v>
      </c>
      <c r="H13" s="5" t="s">
        <v>337</v>
      </c>
      <c r="I13" s="5" t="s">
        <v>337</v>
      </c>
      <c r="J13" s="5">
        <v>1</v>
      </c>
      <c r="K13" s="5" t="s">
        <v>337</v>
      </c>
      <c r="L13" s="5" t="s">
        <v>337</v>
      </c>
      <c r="N13" s="2">
        <v>121</v>
      </c>
      <c r="O13" s="2" t="s">
        <v>337</v>
      </c>
      <c r="P13" s="2" t="s">
        <v>337</v>
      </c>
      <c r="Q13" s="2" t="s">
        <v>337</v>
      </c>
      <c r="R13" s="2" t="s">
        <v>337</v>
      </c>
      <c r="S13" s="2" t="s">
        <v>337</v>
      </c>
      <c r="T13" s="2" t="s">
        <v>337</v>
      </c>
      <c r="U13" s="2">
        <v>40</v>
      </c>
      <c r="V13" s="2" t="s">
        <v>337</v>
      </c>
      <c r="W13" s="2" t="s">
        <v>337</v>
      </c>
    </row>
    <row r="14" spans="1:23" x14ac:dyDescent="0.45">
      <c r="A14" s="5" t="s">
        <v>104</v>
      </c>
      <c r="B14" s="5" t="s">
        <v>316</v>
      </c>
      <c r="C14" s="5">
        <v>40</v>
      </c>
      <c r="D14" s="5" t="s">
        <v>337</v>
      </c>
      <c r="E14" s="5">
        <v>364</v>
      </c>
      <c r="F14" s="5">
        <v>0.5</v>
      </c>
      <c r="G14" s="5">
        <v>364</v>
      </c>
      <c r="H14" s="5">
        <v>1</v>
      </c>
      <c r="I14" s="5">
        <v>4</v>
      </c>
      <c r="J14" s="5">
        <v>121</v>
      </c>
      <c r="K14" s="5">
        <v>364</v>
      </c>
      <c r="L14" s="5">
        <v>364</v>
      </c>
      <c r="N14" s="2">
        <v>121</v>
      </c>
      <c r="O14" s="2" t="s">
        <v>337</v>
      </c>
      <c r="P14" s="2" t="s">
        <v>337</v>
      </c>
      <c r="Q14" s="2" t="s">
        <v>337</v>
      </c>
      <c r="R14" s="2">
        <v>364</v>
      </c>
      <c r="S14" s="2">
        <v>4</v>
      </c>
      <c r="T14" s="2">
        <v>121</v>
      </c>
      <c r="U14" s="2">
        <v>121</v>
      </c>
      <c r="V14" s="2" t="s">
        <v>337</v>
      </c>
      <c r="W14" s="2">
        <v>364</v>
      </c>
    </row>
    <row r="15" spans="1:23" x14ac:dyDescent="0.45">
      <c r="A15" s="5" t="s">
        <v>115</v>
      </c>
      <c r="B15" s="5" t="s">
        <v>317</v>
      </c>
      <c r="C15" s="5">
        <v>121</v>
      </c>
      <c r="D15" s="5">
        <v>364</v>
      </c>
      <c r="E15" s="5" t="s">
        <v>337</v>
      </c>
      <c r="F15" s="5">
        <v>364</v>
      </c>
      <c r="G15" s="5">
        <v>121</v>
      </c>
      <c r="H15" s="5">
        <v>13</v>
      </c>
      <c r="I15" s="5">
        <v>364</v>
      </c>
      <c r="J15" s="5">
        <v>40</v>
      </c>
      <c r="K15" s="5" t="s">
        <v>337</v>
      </c>
      <c r="L15" s="5" t="s">
        <v>337</v>
      </c>
      <c r="N15" s="2">
        <v>121</v>
      </c>
      <c r="O15" s="2" t="s">
        <v>337</v>
      </c>
      <c r="P15" s="2" t="s">
        <v>337</v>
      </c>
      <c r="Q15" s="2" t="s">
        <v>337</v>
      </c>
      <c r="R15" s="2">
        <v>364</v>
      </c>
      <c r="S15" s="2">
        <v>13</v>
      </c>
      <c r="T15" s="2" t="s">
        <v>337</v>
      </c>
      <c r="U15" s="2">
        <v>364</v>
      </c>
      <c r="V15" s="2" t="s">
        <v>337</v>
      </c>
      <c r="W15" s="2" t="s">
        <v>337</v>
      </c>
    </row>
    <row r="16" spans="1:23" x14ac:dyDescent="0.45">
      <c r="A16" s="5" t="s">
        <v>123</v>
      </c>
      <c r="B16" s="5" t="s">
        <v>318</v>
      </c>
      <c r="C16" s="5">
        <v>40</v>
      </c>
      <c r="D16" s="5">
        <v>364</v>
      </c>
      <c r="E16" s="5">
        <v>364</v>
      </c>
      <c r="F16" s="5" t="s">
        <v>337</v>
      </c>
      <c r="G16" s="5">
        <v>364</v>
      </c>
      <c r="H16" s="5">
        <v>1</v>
      </c>
      <c r="I16" s="5">
        <v>121</v>
      </c>
      <c r="J16" s="5">
        <v>364</v>
      </c>
      <c r="K16" s="5" t="s">
        <v>337</v>
      </c>
      <c r="L16" s="5" t="s">
        <v>337</v>
      </c>
      <c r="N16" s="2">
        <v>121</v>
      </c>
      <c r="O16" s="2" t="s">
        <v>337</v>
      </c>
      <c r="P16" s="2" t="s">
        <v>337</v>
      </c>
      <c r="Q16" s="2" t="s">
        <v>337</v>
      </c>
      <c r="R16" s="2" t="s">
        <v>337</v>
      </c>
      <c r="S16" s="2">
        <v>13</v>
      </c>
      <c r="T16" s="2" t="s">
        <v>337</v>
      </c>
      <c r="U16" s="2" t="s">
        <v>337</v>
      </c>
      <c r="V16" s="2" t="s">
        <v>337</v>
      </c>
      <c r="W16" s="2" t="s">
        <v>337</v>
      </c>
    </row>
    <row r="17" spans="1:23" x14ac:dyDescent="0.45">
      <c r="A17" s="5" t="s">
        <v>332</v>
      </c>
      <c r="B17" s="5" t="s">
        <v>327</v>
      </c>
      <c r="C17" s="5">
        <v>121</v>
      </c>
      <c r="D17" s="5">
        <v>364</v>
      </c>
      <c r="E17" s="5" t="s">
        <v>337</v>
      </c>
      <c r="F17" s="5" t="s">
        <v>337</v>
      </c>
      <c r="G17" s="5">
        <v>40</v>
      </c>
      <c r="H17" s="5">
        <v>0.5</v>
      </c>
      <c r="I17" s="5">
        <v>121</v>
      </c>
      <c r="J17" s="5">
        <v>364</v>
      </c>
      <c r="K17" s="5" t="s">
        <v>337</v>
      </c>
      <c r="L17" s="5" t="s">
        <v>337</v>
      </c>
      <c r="N17" s="2" t="s">
        <v>337</v>
      </c>
      <c r="O17" s="2" t="s">
        <v>337</v>
      </c>
      <c r="P17" s="2" t="s">
        <v>337</v>
      </c>
      <c r="Q17" s="2" t="s">
        <v>337</v>
      </c>
      <c r="R17" s="2" t="s">
        <v>337</v>
      </c>
      <c r="S17" s="2" t="s">
        <v>337</v>
      </c>
      <c r="T17" s="2" t="s">
        <v>337</v>
      </c>
      <c r="U17" s="2" t="s">
        <v>337</v>
      </c>
      <c r="V17" s="2" t="s">
        <v>337</v>
      </c>
      <c r="W17" s="2" t="s">
        <v>337</v>
      </c>
    </row>
    <row r="18" spans="1:23" x14ac:dyDescent="0.45">
      <c r="A18" s="5" t="s">
        <v>133</v>
      </c>
      <c r="B18" s="5" t="s">
        <v>319</v>
      </c>
      <c r="C18" s="5">
        <v>121</v>
      </c>
      <c r="D18" s="5" t="s">
        <v>337</v>
      </c>
      <c r="E18" s="5" t="s">
        <v>337</v>
      </c>
      <c r="F18" s="5" t="s">
        <v>337</v>
      </c>
      <c r="G18" s="5">
        <v>364</v>
      </c>
      <c r="H18" s="5">
        <v>13</v>
      </c>
      <c r="I18" s="5">
        <v>40</v>
      </c>
      <c r="J18" s="5">
        <v>121</v>
      </c>
      <c r="K18" s="5" t="s">
        <v>337</v>
      </c>
      <c r="L18" s="5" t="s">
        <v>337</v>
      </c>
      <c r="N18" s="2">
        <v>121</v>
      </c>
      <c r="O18" s="2" t="s">
        <v>337</v>
      </c>
      <c r="P18" s="2" t="s">
        <v>337</v>
      </c>
      <c r="Q18" s="2" t="s">
        <v>337</v>
      </c>
      <c r="R18" s="2" t="s">
        <v>337</v>
      </c>
      <c r="S18" s="2">
        <v>121</v>
      </c>
      <c r="T18" s="2" t="s">
        <v>337</v>
      </c>
      <c r="U18" s="2">
        <v>364</v>
      </c>
      <c r="V18" s="2" t="s">
        <v>337</v>
      </c>
      <c r="W18" s="2" t="s">
        <v>337</v>
      </c>
    </row>
    <row r="19" spans="1:23" x14ac:dyDescent="0.45">
      <c r="A19" s="5" t="s">
        <v>121</v>
      </c>
      <c r="B19" s="5" t="s">
        <v>320</v>
      </c>
      <c r="C19" s="5">
        <v>121</v>
      </c>
      <c r="D19" s="5" t="s">
        <v>337</v>
      </c>
      <c r="E19" s="5" t="s">
        <v>337</v>
      </c>
      <c r="F19" s="5" t="s">
        <v>337</v>
      </c>
      <c r="G19" s="5">
        <v>121</v>
      </c>
      <c r="H19" s="5">
        <v>4</v>
      </c>
      <c r="I19" s="5" t="s">
        <v>337</v>
      </c>
      <c r="J19" s="5">
        <v>40</v>
      </c>
      <c r="K19" s="5" t="s">
        <v>337</v>
      </c>
      <c r="L19" s="5" t="s">
        <v>337</v>
      </c>
      <c r="N19" s="2">
        <v>121</v>
      </c>
      <c r="O19" s="2" t="s">
        <v>337</v>
      </c>
      <c r="P19" s="2" t="s">
        <v>337</v>
      </c>
      <c r="Q19" s="2" t="s">
        <v>337</v>
      </c>
      <c r="R19" s="2" t="s">
        <v>337</v>
      </c>
      <c r="S19" s="2">
        <v>13</v>
      </c>
      <c r="T19" s="2" t="s">
        <v>337</v>
      </c>
      <c r="U19" s="2" t="s">
        <v>337</v>
      </c>
      <c r="V19" s="2" t="s">
        <v>337</v>
      </c>
      <c r="W19" s="2" t="s">
        <v>337</v>
      </c>
    </row>
    <row r="20" spans="1:23" x14ac:dyDescent="0.45">
      <c r="A20" s="5" t="s">
        <v>102</v>
      </c>
      <c r="B20" s="5" t="s">
        <v>330</v>
      </c>
      <c r="C20" s="5">
        <v>40</v>
      </c>
      <c r="D20" s="5">
        <v>13</v>
      </c>
      <c r="E20" s="5" t="s">
        <v>337</v>
      </c>
      <c r="F20" s="5">
        <v>364</v>
      </c>
      <c r="G20" s="5">
        <v>121</v>
      </c>
      <c r="H20" s="5">
        <v>4</v>
      </c>
      <c r="I20" s="5">
        <v>40</v>
      </c>
      <c r="J20" s="5">
        <v>13</v>
      </c>
      <c r="K20" s="5" t="s">
        <v>337</v>
      </c>
      <c r="L20" s="5" t="s">
        <v>337</v>
      </c>
      <c r="N20" s="2">
        <v>121</v>
      </c>
      <c r="O20" s="2" t="s">
        <v>337</v>
      </c>
      <c r="P20" s="2" t="s">
        <v>337</v>
      </c>
      <c r="Q20" s="2" t="s">
        <v>337</v>
      </c>
      <c r="R20" s="2" t="s">
        <v>337</v>
      </c>
      <c r="S20" s="2">
        <v>13</v>
      </c>
      <c r="T20" s="2" t="s">
        <v>337</v>
      </c>
      <c r="U20" s="2" t="s">
        <v>337</v>
      </c>
      <c r="V20" s="2" t="s">
        <v>337</v>
      </c>
      <c r="W20" s="2" t="s">
        <v>337</v>
      </c>
    </row>
    <row r="21" spans="1:23" x14ac:dyDescent="0.45">
      <c r="A21" s="5" t="s">
        <v>334</v>
      </c>
      <c r="B21" s="5" t="s">
        <v>328</v>
      </c>
      <c r="C21" s="5">
        <v>364</v>
      </c>
      <c r="D21" s="5" t="s">
        <v>337</v>
      </c>
      <c r="E21" s="5">
        <v>364</v>
      </c>
      <c r="F21" s="5" t="s">
        <v>337</v>
      </c>
      <c r="G21" s="5">
        <v>1</v>
      </c>
      <c r="H21" s="5">
        <v>40</v>
      </c>
      <c r="I21" s="5" t="s">
        <v>337</v>
      </c>
      <c r="J21" s="5">
        <v>364</v>
      </c>
      <c r="K21" s="5" t="s">
        <v>337</v>
      </c>
      <c r="L21" s="5" t="s">
        <v>337</v>
      </c>
      <c r="N21" s="2">
        <v>364</v>
      </c>
      <c r="O21" s="2" t="s">
        <v>337</v>
      </c>
      <c r="P21" s="2" t="s">
        <v>337</v>
      </c>
      <c r="Q21" s="2" t="s">
        <v>337</v>
      </c>
      <c r="R21" s="2" t="s">
        <v>337</v>
      </c>
      <c r="S21" s="2">
        <v>121</v>
      </c>
      <c r="T21" s="2" t="s">
        <v>337</v>
      </c>
      <c r="U21" s="2" t="s">
        <v>337</v>
      </c>
      <c r="V21" s="2" t="s">
        <v>337</v>
      </c>
      <c r="W21" s="2" t="s">
        <v>337</v>
      </c>
    </row>
    <row r="22" spans="1:23" x14ac:dyDescent="0.45">
      <c r="A22" s="5" t="s">
        <v>112</v>
      </c>
      <c r="B22" s="5" t="s">
        <v>321</v>
      </c>
      <c r="C22" s="5">
        <v>121</v>
      </c>
      <c r="D22" s="5" t="s">
        <v>337</v>
      </c>
      <c r="E22" s="5" t="s">
        <v>337</v>
      </c>
      <c r="F22" s="5" t="s">
        <v>337</v>
      </c>
      <c r="G22" s="5" t="s">
        <v>337</v>
      </c>
      <c r="H22" s="5" t="s">
        <v>337</v>
      </c>
      <c r="I22" s="5">
        <v>121</v>
      </c>
      <c r="J22" s="5" t="s">
        <v>337</v>
      </c>
      <c r="K22" s="5" t="s">
        <v>337</v>
      </c>
      <c r="L22" s="5" t="s">
        <v>337</v>
      </c>
      <c r="N22" s="2">
        <v>364</v>
      </c>
      <c r="O22" s="2" t="s">
        <v>337</v>
      </c>
      <c r="P22" s="2" t="s">
        <v>337</v>
      </c>
      <c r="Q22" s="2" t="s">
        <v>337</v>
      </c>
      <c r="R22" s="2" t="s">
        <v>337</v>
      </c>
      <c r="S22" s="2" t="s">
        <v>337</v>
      </c>
      <c r="T22" s="2" t="s">
        <v>337</v>
      </c>
      <c r="U22" s="2" t="s">
        <v>337</v>
      </c>
      <c r="V22" s="2" t="s">
        <v>337</v>
      </c>
      <c r="W22" s="2" t="s">
        <v>337</v>
      </c>
    </row>
    <row r="23" spans="1:23" x14ac:dyDescent="0.45">
      <c r="A23" s="5" t="s">
        <v>127</v>
      </c>
      <c r="B23" s="5" t="s">
        <v>322</v>
      </c>
      <c r="C23" s="5">
        <v>40</v>
      </c>
      <c r="D23" s="5" t="s">
        <v>337</v>
      </c>
      <c r="E23" s="5" t="s">
        <v>337</v>
      </c>
      <c r="F23" s="5" t="s">
        <v>337</v>
      </c>
      <c r="G23" s="5" t="s">
        <v>337</v>
      </c>
      <c r="H23" s="5">
        <v>40</v>
      </c>
      <c r="I23" s="5">
        <v>40</v>
      </c>
      <c r="J23" s="5">
        <v>121</v>
      </c>
      <c r="K23" s="5" t="s">
        <v>337</v>
      </c>
      <c r="L23" s="5" t="s">
        <v>337</v>
      </c>
      <c r="N23" s="2">
        <v>121</v>
      </c>
      <c r="O23" s="2" t="s">
        <v>337</v>
      </c>
      <c r="P23" s="2" t="s">
        <v>337</v>
      </c>
      <c r="Q23" s="2" t="s">
        <v>337</v>
      </c>
      <c r="R23" s="2" t="s">
        <v>337</v>
      </c>
      <c r="S23" s="2" t="s">
        <v>337</v>
      </c>
      <c r="T23" s="2" t="s">
        <v>337</v>
      </c>
      <c r="U23" s="2">
        <v>364</v>
      </c>
      <c r="V23" s="2" t="s">
        <v>337</v>
      </c>
      <c r="W23" s="2" t="s">
        <v>337</v>
      </c>
    </row>
    <row r="24" spans="1:23" x14ac:dyDescent="0.45">
      <c r="A24" s="5" t="s">
        <v>304</v>
      </c>
      <c r="B24" s="5" t="s">
        <v>323</v>
      </c>
      <c r="C24" s="5">
        <v>13</v>
      </c>
      <c r="D24" s="5">
        <v>364</v>
      </c>
      <c r="E24" s="5">
        <v>364</v>
      </c>
      <c r="F24" s="5" t="s">
        <v>337</v>
      </c>
      <c r="G24" s="5" t="s">
        <v>337</v>
      </c>
      <c r="H24" s="5">
        <v>40</v>
      </c>
      <c r="I24" s="5">
        <v>364</v>
      </c>
      <c r="J24" s="5">
        <v>40</v>
      </c>
      <c r="K24" s="5">
        <v>364</v>
      </c>
      <c r="L24" s="5" t="s">
        <v>337</v>
      </c>
      <c r="N24" s="2">
        <v>121</v>
      </c>
      <c r="O24" s="2" t="s">
        <v>337</v>
      </c>
      <c r="P24" s="2" t="s">
        <v>337</v>
      </c>
      <c r="Q24" s="2" t="s">
        <v>337</v>
      </c>
      <c r="R24" s="2" t="s">
        <v>337</v>
      </c>
      <c r="S24" s="2" t="s">
        <v>337</v>
      </c>
      <c r="T24" s="2" t="s">
        <v>337</v>
      </c>
      <c r="U24" s="2">
        <v>364</v>
      </c>
      <c r="V24" s="2" t="s">
        <v>337</v>
      </c>
      <c r="W24" s="2" t="s">
        <v>337</v>
      </c>
    </row>
    <row r="25" spans="1:23" x14ac:dyDescent="0.45">
      <c r="A25" s="5" t="s">
        <v>129</v>
      </c>
      <c r="B25" s="5" t="s">
        <v>324</v>
      </c>
      <c r="C25" s="5">
        <v>121</v>
      </c>
      <c r="D25" s="5">
        <v>0.5</v>
      </c>
      <c r="E25" s="5">
        <v>364</v>
      </c>
      <c r="F25" s="5" t="s">
        <v>337</v>
      </c>
      <c r="G25" s="5" t="s">
        <v>337</v>
      </c>
      <c r="H25" s="5" t="s">
        <v>337</v>
      </c>
      <c r="I25" s="5" t="s">
        <v>337</v>
      </c>
      <c r="J25" s="5">
        <v>121</v>
      </c>
      <c r="K25" s="5" t="s">
        <v>337</v>
      </c>
      <c r="L25" s="5" t="s">
        <v>337</v>
      </c>
      <c r="N25" s="2">
        <v>364</v>
      </c>
      <c r="O25" s="2" t="s">
        <v>337</v>
      </c>
      <c r="P25" s="2" t="s">
        <v>337</v>
      </c>
      <c r="Q25" s="2" t="s">
        <v>337</v>
      </c>
      <c r="R25" s="2" t="s">
        <v>337</v>
      </c>
      <c r="S25" s="2" t="s">
        <v>337</v>
      </c>
      <c r="T25" s="2" t="s">
        <v>337</v>
      </c>
      <c r="U25" s="2">
        <v>364</v>
      </c>
      <c r="V25" s="2" t="s">
        <v>337</v>
      </c>
      <c r="W25" s="2" t="s">
        <v>337</v>
      </c>
    </row>
    <row r="26" spans="1:23" x14ac:dyDescent="0.45">
      <c r="A26" s="5" t="s">
        <v>125</v>
      </c>
      <c r="B26" s="5" t="s">
        <v>325</v>
      </c>
      <c r="C26" s="5">
        <v>364</v>
      </c>
      <c r="D26" s="5" t="s">
        <v>337</v>
      </c>
      <c r="E26" s="5" t="s">
        <v>337</v>
      </c>
      <c r="F26" s="5" t="s">
        <v>337</v>
      </c>
      <c r="G26" s="5" t="s">
        <v>337</v>
      </c>
      <c r="H26" s="5" t="s">
        <v>337</v>
      </c>
      <c r="I26" s="5" t="s">
        <v>337</v>
      </c>
      <c r="J26" s="5">
        <v>121</v>
      </c>
      <c r="K26" s="5" t="s">
        <v>337</v>
      </c>
      <c r="L26" s="5" t="s">
        <v>337</v>
      </c>
      <c r="N26" s="2">
        <v>364</v>
      </c>
      <c r="O26" s="2" t="s">
        <v>337</v>
      </c>
      <c r="P26" s="2" t="s">
        <v>337</v>
      </c>
      <c r="Q26" s="2" t="s">
        <v>337</v>
      </c>
      <c r="R26" s="2" t="s">
        <v>337</v>
      </c>
      <c r="S26" s="2" t="s">
        <v>337</v>
      </c>
      <c r="T26" s="2" t="s">
        <v>337</v>
      </c>
      <c r="U26" s="2">
        <v>364</v>
      </c>
      <c r="V26" s="2" t="s">
        <v>337</v>
      </c>
      <c r="W26" s="2" t="s">
        <v>337</v>
      </c>
    </row>
    <row r="27" spans="1:23" x14ac:dyDescent="0.45">
      <c r="A27" s="5" t="s">
        <v>119</v>
      </c>
      <c r="B27" s="5" t="s">
        <v>326</v>
      </c>
      <c r="C27" s="5">
        <v>364</v>
      </c>
      <c r="D27" s="5" t="s">
        <v>337</v>
      </c>
      <c r="E27" s="5">
        <v>364</v>
      </c>
      <c r="F27" s="5" t="s">
        <v>337</v>
      </c>
      <c r="G27" s="5">
        <v>40</v>
      </c>
      <c r="H27" s="5">
        <v>364</v>
      </c>
      <c r="I27" s="5" t="s">
        <v>337</v>
      </c>
      <c r="J27" s="5">
        <v>121</v>
      </c>
      <c r="K27" s="5" t="s">
        <v>337</v>
      </c>
      <c r="L27" s="5">
        <v>121</v>
      </c>
      <c r="N27" s="2" t="s">
        <v>337</v>
      </c>
      <c r="O27" s="2" t="s">
        <v>337</v>
      </c>
      <c r="P27" s="2" t="s">
        <v>337</v>
      </c>
      <c r="Q27" s="2" t="s">
        <v>337</v>
      </c>
      <c r="R27" s="2" t="s">
        <v>337</v>
      </c>
      <c r="S27" s="2" t="s">
        <v>337</v>
      </c>
      <c r="T27" s="2" t="s">
        <v>337</v>
      </c>
      <c r="U27" s="2" t="s">
        <v>337</v>
      </c>
      <c r="V27" s="2" t="s">
        <v>337</v>
      </c>
      <c r="W27" s="2" t="s">
        <v>337</v>
      </c>
    </row>
    <row r="28" spans="1:23" ht="14.35" thickBot="1" x14ac:dyDescent="0.5">
      <c r="A28" s="9" t="s">
        <v>336</v>
      </c>
      <c r="B28" s="9" t="s">
        <v>329</v>
      </c>
      <c r="C28" s="9">
        <v>40</v>
      </c>
      <c r="D28" s="9">
        <v>1</v>
      </c>
      <c r="E28" s="9" t="s">
        <v>337</v>
      </c>
      <c r="F28" s="9">
        <v>40</v>
      </c>
      <c r="G28" s="9" t="s">
        <v>337</v>
      </c>
      <c r="H28" s="9">
        <v>0.5</v>
      </c>
      <c r="I28" s="9" t="s">
        <v>337</v>
      </c>
      <c r="J28" s="9">
        <v>40</v>
      </c>
      <c r="K28" s="9">
        <v>364</v>
      </c>
      <c r="L28" s="9" t="s">
        <v>337</v>
      </c>
      <c r="M28" s="1"/>
      <c r="N28" s="3">
        <v>121</v>
      </c>
      <c r="O28" s="3" t="s">
        <v>337</v>
      </c>
      <c r="P28" s="3" t="s">
        <v>337</v>
      </c>
      <c r="Q28" s="3" t="s">
        <v>337</v>
      </c>
      <c r="R28" s="3" t="s">
        <v>337</v>
      </c>
      <c r="S28" s="3">
        <v>121</v>
      </c>
      <c r="T28" s="3" t="s">
        <v>337</v>
      </c>
      <c r="U28" s="3">
        <v>121</v>
      </c>
      <c r="V28" s="3" t="s">
        <v>337</v>
      </c>
      <c r="W28" s="3" t="s">
        <v>337</v>
      </c>
    </row>
  </sheetData>
  <mergeCells count="4">
    <mergeCell ref="C2:L2"/>
    <mergeCell ref="N2:W2"/>
    <mergeCell ref="A2:A3"/>
    <mergeCell ref="B2:B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83F9-B805-44A8-85AA-BF7EA1CC974C}">
  <dimension ref="A1:F186"/>
  <sheetViews>
    <sheetView workbookViewId="0">
      <selection activeCell="C15" sqref="C15"/>
    </sheetView>
  </sheetViews>
  <sheetFormatPr defaultRowHeight="14" x14ac:dyDescent="0.45"/>
  <cols>
    <col min="1" max="1" width="14.46875" customWidth="1"/>
    <col min="2" max="2" width="15.17578125" customWidth="1"/>
    <col min="3" max="3" width="35.234375" customWidth="1"/>
    <col min="4" max="4" width="24.17578125" customWidth="1"/>
    <col min="5" max="5" width="16.5859375" style="26" customWidth="1"/>
    <col min="6" max="6" width="24.05859375" style="26" customWidth="1"/>
  </cols>
  <sheetData>
    <row r="1" spans="1:6" ht="14.35" thickBot="1" x14ac:dyDescent="0.5">
      <c r="A1" s="7" t="s">
        <v>393</v>
      </c>
    </row>
    <row r="2" spans="1:6" ht="14.35" thickBot="1" x14ac:dyDescent="0.5">
      <c r="A2" s="17" t="s">
        <v>96</v>
      </c>
      <c r="B2" s="17" t="s">
        <v>298</v>
      </c>
      <c r="C2" s="17" t="s">
        <v>340</v>
      </c>
      <c r="D2" s="17" t="s">
        <v>355</v>
      </c>
      <c r="E2" s="27" t="s">
        <v>300</v>
      </c>
      <c r="F2" s="27" t="s">
        <v>97</v>
      </c>
    </row>
    <row r="3" spans="1:6" x14ac:dyDescent="0.45">
      <c r="A3" s="5" t="s">
        <v>3</v>
      </c>
      <c r="B3" s="5" t="s">
        <v>98</v>
      </c>
      <c r="C3" s="5" t="s">
        <v>339</v>
      </c>
      <c r="D3" s="5" t="s">
        <v>100</v>
      </c>
      <c r="E3" s="28">
        <v>0.68886334390259252</v>
      </c>
      <c r="F3" s="28">
        <v>-7.0443186180422295</v>
      </c>
    </row>
    <row r="4" spans="1:6" x14ac:dyDescent="0.45">
      <c r="A4" s="5" t="s">
        <v>3</v>
      </c>
      <c r="B4" s="5" t="s">
        <v>98</v>
      </c>
      <c r="C4" s="5" t="s">
        <v>302</v>
      </c>
      <c r="D4" s="5" t="s">
        <v>101</v>
      </c>
      <c r="E4" s="28">
        <v>0.3543433747412616</v>
      </c>
      <c r="F4" s="28">
        <v>-5.6943186180422298</v>
      </c>
    </row>
    <row r="5" spans="1:6" x14ac:dyDescent="0.45">
      <c r="A5" s="5" t="s">
        <v>3</v>
      </c>
      <c r="B5" s="5" t="s">
        <v>98</v>
      </c>
      <c r="C5" s="5" t="s">
        <v>102</v>
      </c>
      <c r="D5" s="5" t="s">
        <v>103</v>
      </c>
      <c r="E5" s="28">
        <v>0.12389628487456701</v>
      </c>
      <c r="F5" s="28">
        <v>-4.7643186180422301</v>
      </c>
    </row>
    <row r="6" spans="1:6" x14ac:dyDescent="0.45">
      <c r="A6" s="5" t="s">
        <v>3</v>
      </c>
      <c r="B6" s="5" t="s">
        <v>98</v>
      </c>
      <c r="C6" s="5" t="s">
        <v>304</v>
      </c>
      <c r="D6" s="5" t="s">
        <v>105</v>
      </c>
      <c r="E6" s="28">
        <v>0.48071758531331998</v>
      </c>
      <c r="F6" s="28">
        <v>-6.2043186180422296</v>
      </c>
    </row>
    <row r="7" spans="1:6" x14ac:dyDescent="0.45">
      <c r="A7" s="5" t="s">
        <v>3</v>
      </c>
      <c r="B7" s="5" t="s">
        <v>98</v>
      </c>
      <c r="C7" s="5" t="s">
        <v>106</v>
      </c>
      <c r="D7" s="5" t="s">
        <v>107</v>
      </c>
      <c r="E7" s="28">
        <v>1.7345479882439382E-2</v>
      </c>
      <c r="F7" s="28">
        <v>-4.3343186180422304</v>
      </c>
    </row>
    <row r="8" spans="1:6" x14ac:dyDescent="0.45">
      <c r="A8" s="5" t="s">
        <v>3</v>
      </c>
      <c r="B8" s="5" t="s">
        <v>98</v>
      </c>
      <c r="C8" s="5" t="s">
        <v>108</v>
      </c>
      <c r="D8" s="5" t="s">
        <v>109</v>
      </c>
      <c r="E8" s="28">
        <v>4.9558513949826801E-3</v>
      </c>
      <c r="F8" s="28">
        <v>-4.2843186180422297</v>
      </c>
    </row>
    <row r="9" spans="1:6" x14ac:dyDescent="0.45">
      <c r="A9" s="5" t="s">
        <v>3</v>
      </c>
      <c r="B9" s="5" t="s">
        <v>98</v>
      </c>
      <c r="C9" s="5" t="s">
        <v>335</v>
      </c>
      <c r="D9" s="5" t="s">
        <v>110</v>
      </c>
      <c r="E9" s="28">
        <v>4.9558513949826801E-3</v>
      </c>
      <c r="F9" s="28">
        <v>-4.2843186180422297</v>
      </c>
    </row>
    <row r="10" spans="1:6" x14ac:dyDescent="0.45">
      <c r="A10" s="5" t="s">
        <v>3</v>
      </c>
      <c r="B10" s="5" t="s">
        <v>98</v>
      </c>
      <c r="C10" s="5" t="s">
        <v>303</v>
      </c>
      <c r="D10" s="5" t="s">
        <v>111</v>
      </c>
      <c r="E10" s="28">
        <v>3.2213034067387424E-2</v>
      </c>
      <c r="F10" s="28">
        <v>-4.39431861804223</v>
      </c>
    </row>
    <row r="11" spans="1:6" x14ac:dyDescent="0.45">
      <c r="A11" s="5" t="s">
        <v>3</v>
      </c>
      <c r="B11" s="5" t="s">
        <v>98</v>
      </c>
      <c r="C11" s="5" t="s">
        <v>112</v>
      </c>
      <c r="D11" s="5" t="s">
        <v>113</v>
      </c>
      <c r="E11" s="28">
        <v>-1.4867554184948039E-2</v>
      </c>
      <c r="F11" s="28">
        <v>-4.2043186180422305</v>
      </c>
    </row>
    <row r="12" spans="1:6" x14ac:dyDescent="0.45">
      <c r="A12" s="5" t="s">
        <v>3</v>
      </c>
      <c r="B12" s="5" t="s">
        <v>98</v>
      </c>
      <c r="C12" s="5" t="s">
        <v>331</v>
      </c>
      <c r="D12" s="5" t="s">
        <v>114</v>
      </c>
      <c r="E12" s="28">
        <v>-4.9558513949826801E-3</v>
      </c>
      <c r="F12" s="28">
        <v>-4.2443186180422305</v>
      </c>
    </row>
    <row r="13" spans="1:6" x14ac:dyDescent="0.45">
      <c r="A13" s="5" t="s">
        <v>3</v>
      </c>
      <c r="B13" s="5" t="s">
        <v>98</v>
      </c>
      <c r="C13" s="5" t="s">
        <v>115</v>
      </c>
      <c r="D13" s="5" t="s">
        <v>116</v>
      </c>
      <c r="E13" s="28">
        <v>-0.14371969045449773</v>
      </c>
      <c r="F13" s="28">
        <v>-3.68431861804223</v>
      </c>
    </row>
    <row r="14" spans="1:6" x14ac:dyDescent="0.45">
      <c r="A14" s="5" t="s">
        <v>3</v>
      </c>
      <c r="B14" s="5" t="s">
        <v>98</v>
      </c>
      <c r="C14" s="5" t="s">
        <v>117</v>
      </c>
      <c r="D14" s="5" t="s">
        <v>118</v>
      </c>
      <c r="E14" s="28">
        <v>-0.11894043347958431</v>
      </c>
      <c r="F14" s="28">
        <v>-3.7843186180422301</v>
      </c>
    </row>
    <row r="15" spans="1:6" x14ac:dyDescent="0.45">
      <c r="A15" s="5" t="s">
        <v>3</v>
      </c>
      <c r="B15" s="5" t="s">
        <v>98</v>
      </c>
      <c r="C15" s="5" t="s">
        <v>119</v>
      </c>
      <c r="D15" s="5" t="s">
        <v>120</v>
      </c>
      <c r="E15" s="28">
        <v>-0.19327820440432453</v>
      </c>
      <c r="F15" s="28">
        <v>-3.4843186180422299</v>
      </c>
    </row>
    <row r="16" spans="1:6" x14ac:dyDescent="0.45">
      <c r="A16" s="5" t="s">
        <v>3</v>
      </c>
      <c r="B16" s="5" t="s">
        <v>98</v>
      </c>
      <c r="C16" s="5" t="s">
        <v>121</v>
      </c>
      <c r="D16" s="5" t="s">
        <v>122</v>
      </c>
      <c r="E16" s="28">
        <v>-0.13133006196704103</v>
      </c>
      <c r="F16" s="28">
        <v>-3.7343186180422299</v>
      </c>
    </row>
    <row r="17" spans="1:6" x14ac:dyDescent="0.45">
      <c r="A17" s="5" t="s">
        <v>3</v>
      </c>
      <c r="B17" s="5" t="s">
        <v>98</v>
      </c>
      <c r="C17" s="5" t="s">
        <v>123</v>
      </c>
      <c r="D17" s="5" t="s">
        <v>124</v>
      </c>
      <c r="E17" s="28">
        <v>-0.15363139324446309</v>
      </c>
      <c r="F17" s="28">
        <v>-3.64431861804223</v>
      </c>
    </row>
    <row r="18" spans="1:6" x14ac:dyDescent="0.45">
      <c r="A18" s="5" t="s">
        <v>3</v>
      </c>
      <c r="B18" s="5" t="s">
        <v>98</v>
      </c>
      <c r="C18" s="5" t="s">
        <v>125</v>
      </c>
      <c r="D18" s="5" t="s">
        <v>126</v>
      </c>
      <c r="E18" s="28">
        <v>0.24283671835415133</v>
      </c>
      <c r="F18" s="28">
        <v>-5.2443186180422305</v>
      </c>
    </row>
    <row r="19" spans="1:6" x14ac:dyDescent="0.45">
      <c r="A19" s="5" t="s">
        <v>3</v>
      </c>
      <c r="B19" s="5" t="s">
        <v>98</v>
      </c>
      <c r="C19" s="5" t="s">
        <v>333</v>
      </c>
      <c r="D19" s="5" t="s">
        <v>341</v>
      </c>
      <c r="E19" s="28">
        <v>2.9735108369896079E-2</v>
      </c>
      <c r="F19" s="28">
        <v>-4.3843186180422302</v>
      </c>
    </row>
    <row r="20" spans="1:6" x14ac:dyDescent="0.45">
      <c r="A20" s="5" t="s">
        <v>3</v>
      </c>
      <c r="B20" s="5" t="s">
        <v>98</v>
      </c>
      <c r="C20" s="5" t="s">
        <v>127</v>
      </c>
      <c r="D20" s="5" t="s">
        <v>128</v>
      </c>
      <c r="E20" s="28">
        <v>0.44602662554844125</v>
      </c>
      <c r="F20" s="28">
        <v>-6.0643186180422299</v>
      </c>
    </row>
    <row r="21" spans="1:6" x14ac:dyDescent="0.45">
      <c r="A21" s="5" t="s">
        <v>3</v>
      </c>
      <c r="B21" s="5" t="s">
        <v>98</v>
      </c>
      <c r="C21" s="5" t="s">
        <v>129</v>
      </c>
      <c r="D21" s="5" t="s">
        <v>130</v>
      </c>
      <c r="E21" s="28">
        <v>0.33947582055631365</v>
      </c>
      <c r="F21" s="28">
        <v>-5.6343186180422302</v>
      </c>
    </row>
    <row r="22" spans="1:6" x14ac:dyDescent="0.45">
      <c r="A22" s="5" t="s">
        <v>3</v>
      </c>
      <c r="B22" s="5" t="s">
        <v>98</v>
      </c>
      <c r="C22" s="5" t="s">
        <v>131</v>
      </c>
      <c r="D22" s="5" t="s">
        <v>132</v>
      </c>
      <c r="E22" s="28">
        <v>-0.12389628487456701</v>
      </c>
      <c r="F22" s="28">
        <v>-3.7643186180422301</v>
      </c>
    </row>
    <row r="23" spans="1:6" x14ac:dyDescent="0.45">
      <c r="A23" s="5" t="s">
        <v>3</v>
      </c>
      <c r="B23" s="5" t="s">
        <v>98</v>
      </c>
      <c r="C23" s="5" t="s">
        <v>133</v>
      </c>
      <c r="D23" s="5" t="s">
        <v>134</v>
      </c>
      <c r="E23" s="28">
        <v>-9.9117027899653612E-2</v>
      </c>
      <c r="F23" s="28">
        <v>-3.8643186180422302</v>
      </c>
    </row>
    <row r="24" spans="1:6" x14ac:dyDescent="0.45">
      <c r="A24" s="5" t="s">
        <v>3</v>
      </c>
      <c r="B24" s="5" t="s">
        <v>98</v>
      </c>
      <c r="C24" s="5" t="s">
        <v>135</v>
      </c>
      <c r="D24" s="5" t="s">
        <v>136</v>
      </c>
      <c r="E24" s="28">
        <v>-0.50054099089325066</v>
      </c>
      <c r="F24" s="28">
        <v>-2.2443186180422301</v>
      </c>
    </row>
    <row r="25" spans="1:6" x14ac:dyDescent="0.45">
      <c r="A25" s="5" t="s">
        <v>3</v>
      </c>
      <c r="B25" s="5" t="s">
        <v>98</v>
      </c>
      <c r="C25" s="5" t="s">
        <v>137</v>
      </c>
      <c r="D25" s="5" t="s">
        <v>301</v>
      </c>
      <c r="E25" s="28">
        <v>-0.70868674948252319</v>
      </c>
      <c r="F25" s="28">
        <v>-1.4043186180422302</v>
      </c>
    </row>
    <row r="26" spans="1:6" x14ac:dyDescent="0.45">
      <c r="A26" s="5" t="s">
        <v>3</v>
      </c>
      <c r="B26" s="5" t="s">
        <v>98</v>
      </c>
      <c r="C26" s="5" t="s">
        <v>138</v>
      </c>
      <c r="D26" s="5" t="s">
        <v>139</v>
      </c>
      <c r="E26" s="28">
        <v>-14.954281584360238</v>
      </c>
      <c r="F26" s="28">
        <v>56.08568138195777</v>
      </c>
    </row>
    <row r="27" spans="1:6" x14ac:dyDescent="0.45">
      <c r="A27" s="5" t="s">
        <v>141</v>
      </c>
      <c r="B27" s="5" t="s">
        <v>140</v>
      </c>
      <c r="C27" s="5" t="s">
        <v>135</v>
      </c>
      <c r="D27" s="5" t="s">
        <v>142</v>
      </c>
      <c r="E27" s="28">
        <v>1.8890493890943381</v>
      </c>
      <c r="F27" s="28">
        <v>-4.4274675324675297</v>
      </c>
    </row>
    <row r="28" spans="1:6" x14ac:dyDescent="0.45">
      <c r="A28" s="5" t="s">
        <v>141</v>
      </c>
      <c r="B28" s="5" t="s">
        <v>140</v>
      </c>
      <c r="C28" s="5" t="s">
        <v>99</v>
      </c>
      <c r="D28" s="5" t="s">
        <v>143</v>
      </c>
      <c r="E28" s="28">
        <v>1.1655836656114</v>
      </c>
      <c r="F28" s="28">
        <v>-4.0674675324675302</v>
      </c>
    </row>
    <row r="29" spans="1:6" x14ac:dyDescent="0.45">
      <c r="A29" s="5" t="s">
        <v>141</v>
      </c>
      <c r="B29" s="5" t="s">
        <v>140</v>
      </c>
      <c r="C29" s="5" t="s">
        <v>106</v>
      </c>
      <c r="D29" s="5" t="s">
        <v>144</v>
      </c>
      <c r="E29" s="28">
        <v>-2.0096270096748279E-2</v>
      </c>
      <c r="F29" s="28">
        <v>-3.4774675324675304</v>
      </c>
    </row>
    <row r="30" spans="1:6" x14ac:dyDescent="0.45">
      <c r="A30" s="5" t="s">
        <v>141</v>
      </c>
      <c r="B30" s="5" t="s">
        <v>140</v>
      </c>
      <c r="C30" s="5" t="s">
        <v>303</v>
      </c>
      <c r="D30" s="5" t="s">
        <v>145</v>
      </c>
      <c r="E30" s="28">
        <v>0.84404334406342763</v>
      </c>
      <c r="F30" s="28">
        <v>-3.9074675324675301</v>
      </c>
    </row>
    <row r="31" spans="1:6" x14ac:dyDescent="0.45">
      <c r="A31" s="5" t="s">
        <v>141</v>
      </c>
      <c r="B31" s="5" t="s">
        <v>140</v>
      </c>
      <c r="C31" s="5" t="s">
        <v>131</v>
      </c>
      <c r="D31" s="5" t="s">
        <v>146</v>
      </c>
      <c r="E31" s="28">
        <v>2.8737666238350039</v>
      </c>
      <c r="F31" s="28">
        <v>-4.9174675324675299</v>
      </c>
    </row>
    <row r="32" spans="1:6" x14ac:dyDescent="0.45">
      <c r="A32" s="5" t="s">
        <v>141</v>
      </c>
      <c r="B32" s="5" t="s">
        <v>140</v>
      </c>
      <c r="C32" s="5" t="s">
        <v>112</v>
      </c>
      <c r="D32" s="5" t="s">
        <v>147</v>
      </c>
      <c r="E32" s="28">
        <v>3.2957882958667173</v>
      </c>
      <c r="F32" s="28">
        <v>-5.1274675324675298</v>
      </c>
    </row>
    <row r="33" spans="1:6" x14ac:dyDescent="0.45">
      <c r="A33" s="5" t="s">
        <v>141</v>
      </c>
      <c r="B33" s="5" t="s">
        <v>140</v>
      </c>
      <c r="C33" s="5" t="s">
        <v>127</v>
      </c>
      <c r="D33" s="5" t="s">
        <v>148</v>
      </c>
      <c r="E33" s="28">
        <v>2.9541517042219967</v>
      </c>
      <c r="F33" s="28">
        <v>-4.9574675324675299</v>
      </c>
    </row>
    <row r="34" spans="1:6" x14ac:dyDescent="0.45">
      <c r="A34" s="5" t="s">
        <v>141</v>
      </c>
      <c r="B34" s="5" t="s">
        <v>140</v>
      </c>
      <c r="C34" s="5" t="s">
        <v>129</v>
      </c>
      <c r="D34" s="5" t="s">
        <v>149</v>
      </c>
      <c r="E34" s="28">
        <v>1.6478941479333586</v>
      </c>
      <c r="F34" s="28">
        <v>-4.3074675324675304</v>
      </c>
    </row>
    <row r="35" spans="1:6" x14ac:dyDescent="0.45">
      <c r="A35" s="5" t="s">
        <v>141</v>
      </c>
      <c r="B35" s="5" t="s">
        <v>140</v>
      </c>
      <c r="C35" s="5" t="s">
        <v>125</v>
      </c>
      <c r="D35" s="5" t="s">
        <v>150</v>
      </c>
      <c r="E35" s="28">
        <v>0.74356199357968633</v>
      </c>
      <c r="F35" s="28">
        <v>-3.8574675324675303</v>
      </c>
    </row>
    <row r="36" spans="1:6" x14ac:dyDescent="0.45">
      <c r="A36" s="5" t="s">
        <v>141</v>
      </c>
      <c r="B36" s="5" t="s">
        <v>140</v>
      </c>
      <c r="C36" s="5" t="s">
        <v>137</v>
      </c>
      <c r="D36" s="5" t="s">
        <v>151</v>
      </c>
      <c r="E36" s="28">
        <v>1.1655836656114</v>
      </c>
      <c r="F36" s="28">
        <v>-4.0674675324675302</v>
      </c>
    </row>
    <row r="37" spans="1:6" x14ac:dyDescent="0.45">
      <c r="A37" s="5" t="s">
        <v>141</v>
      </c>
      <c r="B37" s="5" t="s">
        <v>140</v>
      </c>
      <c r="C37" s="5" t="s">
        <v>117</v>
      </c>
      <c r="D37" s="5" t="s">
        <v>152</v>
      </c>
      <c r="E37" s="28">
        <v>1.2660650160951417</v>
      </c>
      <c r="F37" s="28">
        <v>-4.1174675324675301</v>
      </c>
    </row>
    <row r="38" spans="1:6" x14ac:dyDescent="0.45">
      <c r="A38" s="5" t="s">
        <v>141</v>
      </c>
      <c r="B38" s="5" t="s">
        <v>140</v>
      </c>
      <c r="C38" s="5" t="s">
        <v>302</v>
      </c>
      <c r="D38" s="5" t="s">
        <v>153</v>
      </c>
      <c r="E38" s="28">
        <v>0.82394707396667932</v>
      </c>
      <c r="F38" s="28">
        <v>-3.8974675324675303</v>
      </c>
    </row>
    <row r="39" spans="1:6" x14ac:dyDescent="0.45">
      <c r="A39" s="5" t="s">
        <v>155</v>
      </c>
      <c r="B39" s="5" t="s">
        <v>154</v>
      </c>
      <c r="C39" s="5" t="s">
        <v>304</v>
      </c>
      <c r="D39" s="5" t="s">
        <v>156</v>
      </c>
      <c r="E39" s="28">
        <v>1.4573667318081354</v>
      </c>
      <c r="F39" s="28">
        <v>-8.9547859922179001</v>
      </c>
    </row>
    <row r="40" spans="1:6" x14ac:dyDescent="0.45">
      <c r="A40" s="5" t="s">
        <v>155</v>
      </c>
      <c r="B40" s="5" t="s">
        <v>154</v>
      </c>
      <c r="C40" s="5" t="s">
        <v>123</v>
      </c>
      <c r="D40" s="5" t="s">
        <v>157</v>
      </c>
      <c r="E40" s="28">
        <v>1.241163974891544</v>
      </c>
      <c r="F40" s="28">
        <v>-8.6847859922179005</v>
      </c>
    </row>
    <row r="41" spans="1:6" x14ac:dyDescent="0.45">
      <c r="A41" s="5" t="s">
        <v>155</v>
      </c>
      <c r="B41" s="5" t="s">
        <v>154</v>
      </c>
      <c r="C41" s="5" t="s">
        <v>127</v>
      </c>
      <c r="D41" s="5" t="s">
        <v>158</v>
      </c>
      <c r="E41" s="28">
        <v>1.1450738607063919</v>
      </c>
      <c r="F41" s="28">
        <v>-8.5647859922178995</v>
      </c>
    </row>
    <row r="42" spans="1:6" x14ac:dyDescent="0.45">
      <c r="A42" s="5" t="s">
        <v>155</v>
      </c>
      <c r="B42" s="5" t="s">
        <v>154</v>
      </c>
      <c r="C42" s="5" t="s">
        <v>302</v>
      </c>
      <c r="D42" s="5" t="s">
        <v>159</v>
      </c>
      <c r="E42" s="28">
        <v>1.0810137845829575</v>
      </c>
      <c r="F42" s="28">
        <v>-8.4847859922178994</v>
      </c>
    </row>
    <row r="43" spans="1:6" x14ac:dyDescent="0.45">
      <c r="A43" s="5" t="s">
        <v>155</v>
      </c>
      <c r="B43" s="5" t="s">
        <v>154</v>
      </c>
      <c r="C43" s="5" t="s">
        <v>108</v>
      </c>
      <c r="D43" s="5" t="s">
        <v>160</v>
      </c>
      <c r="E43" s="28">
        <v>0.93687861330522981</v>
      </c>
      <c r="F43" s="28">
        <v>-8.3047859922178997</v>
      </c>
    </row>
    <row r="44" spans="1:6" x14ac:dyDescent="0.45">
      <c r="A44" s="5" t="s">
        <v>155</v>
      </c>
      <c r="B44" s="5" t="s">
        <v>154</v>
      </c>
      <c r="C44" s="5" t="s">
        <v>135</v>
      </c>
      <c r="D44" s="5" t="s">
        <v>161</v>
      </c>
      <c r="E44" s="28">
        <v>0.82477348008921947</v>
      </c>
      <c r="F44" s="28">
        <v>-8.1647859922178991</v>
      </c>
    </row>
    <row r="45" spans="1:6" x14ac:dyDescent="0.45">
      <c r="A45" s="5" t="s">
        <v>155</v>
      </c>
      <c r="B45" s="5" t="s">
        <v>154</v>
      </c>
      <c r="C45" s="5" t="s">
        <v>115</v>
      </c>
      <c r="D45" s="5" t="s">
        <v>162</v>
      </c>
      <c r="E45" s="28">
        <v>0.82477348008921947</v>
      </c>
      <c r="F45" s="28">
        <v>-8.1647859922178991</v>
      </c>
    </row>
    <row r="46" spans="1:6" x14ac:dyDescent="0.45">
      <c r="A46" s="5" t="s">
        <v>155</v>
      </c>
      <c r="B46" s="5" t="s">
        <v>154</v>
      </c>
      <c r="C46" s="5" t="s">
        <v>106</v>
      </c>
      <c r="D46" s="5" t="s">
        <v>163</v>
      </c>
      <c r="E46" s="28">
        <v>0.78473593251207285</v>
      </c>
      <c r="F46" s="28">
        <v>-8.1147859922179002</v>
      </c>
    </row>
    <row r="47" spans="1:6" x14ac:dyDescent="0.45">
      <c r="A47" s="5" t="s">
        <v>155</v>
      </c>
      <c r="B47" s="5" t="s">
        <v>154</v>
      </c>
      <c r="C47" s="5" t="s">
        <v>131</v>
      </c>
      <c r="D47" s="5" t="s">
        <v>164</v>
      </c>
      <c r="E47" s="28">
        <v>0.76872091348121419</v>
      </c>
      <c r="F47" s="28">
        <v>-8.0947859922179006</v>
      </c>
    </row>
    <row r="48" spans="1:6" x14ac:dyDescent="0.45">
      <c r="A48" s="5" t="s">
        <v>155</v>
      </c>
      <c r="B48" s="5" t="s">
        <v>154</v>
      </c>
      <c r="C48" s="5" t="s">
        <v>104</v>
      </c>
      <c r="D48" s="5" t="s">
        <v>165</v>
      </c>
      <c r="E48" s="28">
        <v>0.73669087541949696</v>
      </c>
      <c r="F48" s="28">
        <v>-8.0547859922178997</v>
      </c>
    </row>
    <row r="49" spans="1:6" x14ac:dyDescent="0.45">
      <c r="A49" s="5" t="s">
        <v>155</v>
      </c>
      <c r="B49" s="5" t="s">
        <v>154</v>
      </c>
      <c r="C49" s="5" t="s">
        <v>303</v>
      </c>
      <c r="D49" s="5" t="s">
        <v>166</v>
      </c>
      <c r="E49" s="28">
        <v>0.7206758563886384</v>
      </c>
      <c r="F49" s="28">
        <v>-8.0347859922179001</v>
      </c>
    </row>
    <row r="50" spans="1:6" x14ac:dyDescent="0.45">
      <c r="A50" s="5" t="s">
        <v>155</v>
      </c>
      <c r="B50" s="5" t="s">
        <v>154</v>
      </c>
      <c r="C50" s="5" t="s">
        <v>99</v>
      </c>
      <c r="D50" s="5" t="s">
        <v>167</v>
      </c>
      <c r="E50" s="28">
        <v>0.65661578026520384</v>
      </c>
      <c r="F50" s="28">
        <v>-7.9547859922179001</v>
      </c>
    </row>
    <row r="51" spans="1:6" x14ac:dyDescent="0.45">
      <c r="A51" s="5" t="s">
        <v>155</v>
      </c>
      <c r="B51" s="5" t="s">
        <v>154</v>
      </c>
      <c r="C51" s="5" t="s">
        <v>138</v>
      </c>
      <c r="D51" s="5" t="s">
        <v>168</v>
      </c>
      <c r="E51" s="28">
        <v>0.58454819462634</v>
      </c>
      <c r="F51" s="28">
        <v>-7.8647859922179002</v>
      </c>
    </row>
    <row r="52" spans="1:6" x14ac:dyDescent="0.45">
      <c r="A52" s="5" t="s">
        <v>155</v>
      </c>
      <c r="B52" s="5" t="s">
        <v>154</v>
      </c>
      <c r="C52" s="5" t="s">
        <v>102</v>
      </c>
      <c r="D52" s="5" t="s">
        <v>169</v>
      </c>
      <c r="E52" s="28">
        <v>0.40037547577146576</v>
      </c>
      <c r="F52" s="28">
        <v>-7.6347859922178998</v>
      </c>
    </row>
    <row r="53" spans="1:6" x14ac:dyDescent="0.45">
      <c r="A53" s="5" t="s">
        <v>155</v>
      </c>
      <c r="B53" s="5" t="s">
        <v>154</v>
      </c>
      <c r="C53" s="5" t="s">
        <v>133</v>
      </c>
      <c r="D53" s="5" t="s">
        <v>170</v>
      </c>
      <c r="E53" s="28">
        <v>0.29627785207088464</v>
      </c>
      <c r="F53" s="28">
        <v>-7.5047859922178999</v>
      </c>
    </row>
    <row r="54" spans="1:6" x14ac:dyDescent="0.45">
      <c r="A54" s="5" t="s">
        <v>155</v>
      </c>
      <c r="B54" s="5" t="s">
        <v>154</v>
      </c>
      <c r="C54" s="5" t="s">
        <v>121</v>
      </c>
      <c r="D54" s="5" t="s">
        <v>171</v>
      </c>
      <c r="E54" s="28">
        <v>0.29627785207088464</v>
      </c>
      <c r="F54" s="28">
        <v>-7.5047859922178999</v>
      </c>
    </row>
    <row r="55" spans="1:6" x14ac:dyDescent="0.45">
      <c r="A55" s="5" t="s">
        <v>155</v>
      </c>
      <c r="B55" s="5" t="s">
        <v>154</v>
      </c>
      <c r="C55" s="5" t="s">
        <v>137</v>
      </c>
      <c r="D55" s="5" t="s">
        <v>172</v>
      </c>
      <c r="E55" s="28">
        <v>0.84879600863550742</v>
      </c>
      <c r="F55" s="28">
        <v>-8.1947859922179003</v>
      </c>
    </row>
    <row r="56" spans="1:6" x14ac:dyDescent="0.45">
      <c r="A56" s="5" t="s">
        <v>155</v>
      </c>
      <c r="B56" s="5" t="s">
        <v>154</v>
      </c>
      <c r="C56" s="5" t="s">
        <v>331</v>
      </c>
      <c r="D56" s="5" t="s">
        <v>426</v>
      </c>
      <c r="E56" s="28">
        <v>1.07157592305331</v>
      </c>
      <c r="F56" s="28">
        <v>-8.4730000000000008</v>
      </c>
    </row>
    <row r="57" spans="1:6" x14ac:dyDescent="0.45">
      <c r="A57" s="5" t="s">
        <v>155</v>
      </c>
      <c r="B57" s="5" t="s">
        <v>154</v>
      </c>
      <c r="C57" s="5" t="s">
        <v>333</v>
      </c>
      <c r="D57" s="5" t="s">
        <v>173</v>
      </c>
      <c r="E57" s="28">
        <v>3.203003806171726E-2</v>
      </c>
      <c r="F57" s="28">
        <v>-7.1747859922178998</v>
      </c>
    </row>
    <row r="58" spans="1:6" x14ac:dyDescent="0.45">
      <c r="A58" s="5" t="s">
        <v>155</v>
      </c>
      <c r="B58" s="5" t="s">
        <v>154</v>
      </c>
      <c r="C58" s="5" t="s">
        <v>117</v>
      </c>
      <c r="D58" s="5" t="s">
        <v>174</v>
      </c>
      <c r="E58" s="28">
        <v>-2.6584931591225325</v>
      </c>
      <c r="F58" s="28">
        <v>-3.8147859922178999</v>
      </c>
    </row>
    <row r="59" spans="1:6" x14ac:dyDescent="0.45">
      <c r="A59" s="5" t="s">
        <v>155</v>
      </c>
      <c r="B59" s="5" t="s">
        <v>154</v>
      </c>
      <c r="C59" s="5" t="s">
        <v>129</v>
      </c>
      <c r="D59" s="5" t="s">
        <v>175</v>
      </c>
      <c r="E59" s="28">
        <v>-3.9877397386837994</v>
      </c>
      <c r="F59" s="28">
        <v>-2.1547859922178993</v>
      </c>
    </row>
    <row r="60" spans="1:6" x14ac:dyDescent="0.45">
      <c r="A60" s="5" t="s">
        <v>155</v>
      </c>
      <c r="B60" s="5" t="s">
        <v>154</v>
      </c>
      <c r="C60" s="5" t="s">
        <v>112</v>
      </c>
      <c r="D60" s="5" t="s">
        <v>176</v>
      </c>
      <c r="E60" s="28">
        <v>-3.6674393580666265</v>
      </c>
      <c r="F60" s="28">
        <v>-2.5547859922178997</v>
      </c>
    </row>
    <row r="61" spans="1:6" x14ac:dyDescent="0.45">
      <c r="A61" s="5" t="s">
        <v>155</v>
      </c>
      <c r="B61" s="5" t="s">
        <v>154</v>
      </c>
      <c r="C61" s="5" t="s">
        <v>119</v>
      </c>
      <c r="D61" s="5" t="s">
        <v>177</v>
      </c>
      <c r="E61" s="28">
        <v>-7.2067585638863826E-2</v>
      </c>
      <c r="F61" s="28">
        <v>-7.0447859922178999</v>
      </c>
    </row>
    <row r="62" spans="1:6" x14ac:dyDescent="0.45">
      <c r="A62" s="5" t="s">
        <v>179</v>
      </c>
      <c r="B62" s="5" t="s">
        <v>178</v>
      </c>
      <c r="C62" s="5" t="s">
        <v>102</v>
      </c>
      <c r="D62" s="5" t="s">
        <v>180</v>
      </c>
      <c r="E62" s="28">
        <v>2.5232549738803133E-2</v>
      </c>
      <c r="F62" s="28">
        <v>-8.6960113960114001</v>
      </c>
    </row>
    <row r="63" spans="1:6" x14ac:dyDescent="0.45">
      <c r="A63" s="5" t="s">
        <v>179</v>
      </c>
      <c r="B63" s="5" t="s">
        <v>178</v>
      </c>
      <c r="C63" s="5" t="s">
        <v>123</v>
      </c>
      <c r="D63" s="5" t="s">
        <v>181</v>
      </c>
      <c r="E63" s="28">
        <v>-0.30279059686563758</v>
      </c>
      <c r="F63" s="28">
        <v>-8.0460113960113997</v>
      </c>
    </row>
    <row r="64" spans="1:6" x14ac:dyDescent="0.45">
      <c r="A64" s="5" t="s">
        <v>179</v>
      </c>
      <c r="B64" s="5" t="s">
        <v>178</v>
      </c>
      <c r="C64" s="5" t="s">
        <v>121</v>
      </c>
      <c r="D64" s="5" t="s">
        <v>182</v>
      </c>
      <c r="E64" s="28">
        <v>-0.32297663665668008</v>
      </c>
      <c r="F64" s="28">
        <v>-8.0060113960113988</v>
      </c>
    </row>
    <row r="65" spans="1:6" x14ac:dyDescent="0.45">
      <c r="A65" s="5" t="s">
        <v>179</v>
      </c>
      <c r="B65" s="5" t="s">
        <v>178</v>
      </c>
      <c r="C65" s="5" t="s">
        <v>331</v>
      </c>
      <c r="D65" s="5" t="s">
        <v>183</v>
      </c>
      <c r="E65" s="28">
        <v>-0.37344173613428633</v>
      </c>
      <c r="F65" s="28">
        <v>-7.9060113960113991</v>
      </c>
    </row>
    <row r="66" spans="1:6" x14ac:dyDescent="0.45">
      <c r="A66" s="5" t="s">
        <v>179</v>
      </c>
      <c r="B66" s="5" t="s">
        <v>178</v>
      </c>
      <c r="C66" s="5" t="s">
        <v>115</v>
      </c>
      <c r="D66" s="5" t="s">
        <v>184</v>
      </c>
      <c r="E66" s="28">
        <v>-0.40372079582085013</v>
      </c>
      <c r="F66" s="28">
        <v>-7.8460113960113995</v>
      </c>
    </row>
    <row r="67" spans="1:6" x14ac:dyDescent="0.45">
      <c r="A67" s="5" t="s">
        <v>179</v>
      </c>
      <c r="B67" s="5" t="s">
        <v>178</v>
      </c>
      <c r="C67" s="5" t="s">
        <v>135</v>
      </c>
      <c r="D67" s="5" t="s">
        <v>185</v>
      </c>
      <c r="E67" s="28">
        <v>1.0093019895521253E-2</v>
      </c>
      <c r="F67" s="28">
        <v>-8.6660113960113989</v>
      </c>
    </row>
    <row r="68" spans="1:6" x14ac:dyDescent="0.45">
      <c r="A68" s="5" t="s">
        <v>4</v>
      </c>
      <c r="B68" s="5" t="s">
        <v>186</v>
      </c>
      <c r="C68" s="5" t="s">
        <v>99</v>
      </c>
      <c r="D68" s="5" t="s">
        <v>187</v>
      </c>
      <c r="E68" s="28">
        <v>2.8415895577042017E-3</v>
      </c>
      <c r="F68" s="28">
        <v>-11.5802955195424</v>
      </c>
    </row>
    <row r="69" spans="1:6" x14ac:dyDescent="0.45">
      <c r="A69" s="5" t="s">
        <v>4</v>
      </c>
      <c r="B69" s="5" t="s">
        <v>186</v>
      </c>
      <c r="C69" s="5" t="s">
        <v>331</v>
      </c>
      <c r="D69" s="5" t="s">
        <v>188</v>
      </c>
      <c r="E69" s="28">
        <v>-0.25005988107796973</v>
      </c>
      <c r="F69" s="28">
        <v>-10.690295519542399</v>
      </c>
    </row>
    <row r="70" spans="1:6" x14ac:dyDescent="0.45">
      <c r="A70" s="5" t="s">
        <v>4</v>
      </c>
      <c r="B70" s="5" t="s">
        <v>186</v>
      </c>
      <c r="C70" s="5" t="s">
        <v>333</v>
      </c>
      <c r="D70" s="5" t="s">
        <v>189</v>
      </c>
      <c r="E70" s="28">
        <v>-0.23869352284715292</v>
      </c>
      <c r="F70" s="28">
        <v>-10.7302955195424</v>
      </c>
    </row>
    <row r="71" spans="1:6" x14ac:dyDescent="0.45">
      <c r="A71" s="5" t="s">
        <v>4</v>
      </c>
      <c r="B71" s="5" t="s">
        <v>186</v>
      </c>
      <c r="C71" s="5" t="s">
        <v>104</v>
      </c>
      <c r="D71" s="5" t="s">
        <v>190</v>
      </c>
      <c r="E71" s="28">
        <v>0.13355470921209747</v>
      </c>
      <c r="F71" s="28">
        <v>-12.040295519542401</v>
      </c>
    </row>
    <row r="72" spans="1:6" x14ac:dyDescent="0.45">
      <c r="A72" s="5" t="s">
        <v>4</v>
      </c>
      <c r="B72" s="5" t="s">
        <v>186</v>
      </c>
      <c r="C72" s="5" t="s">
        <v>131</v>
      </c>
      <c r="D72" s="5" t="s">
        <v>191</v>
      </c>
      <c r="E72" s="28">
        <v>-0.40066412763629239</v>
      </c>
      <c r="F72" s="28">
        <v>-10.1602955195424</v>
      </c>
    </row>
    <row r="73" spans="1:6" x14ac:dyDescent="0.45">
      <c r="A73" s="5" t="s">
        <v>4</v>
      </c>
      <c r="B73" s="5" t="s">
        <v>186</v>
      </c>
      <c r="C73" s="5" t="s">
        <v>137</v>
      </c>
      <c r="D73" s="5" t="s">
        <v>192</v>
      </c>
      <c r="E73" s="28">
        <v>-0.35804028427072937</v>
      </c>
      <c r="F73" s="28">
        <v>-10.3102955195424</v>
      </c>
    </row>
    <row r="74" spans="1:6" x14ac:dyDescent="0.45">
      <c r="A74" s="5" t="s">
        <v>4</v>
      </c>
      <c r="B74" s="5" t="s">
        <v>186</v>
      </c>
      <c r="C74" s="5" t="s">
        <v>133</v>
      </c>
      <c r="D74" s="5" t="s">
        <v>193</v>
      </c>
      <c r="E74" s="28">
        <v>-0.15060424655832269</v>
      </c>
      <c r="F74" s="28">
        <v>-11.040295519542401</v>
      </c>
    </row>
    <row r="75" spans="1:6" x14ac:dyDescent="0.45">
      <c r="A75" s="5" t="s">
        <v>4</v>
      </c>
      <c r="B75" s="5" t="s">
        <v>186</v>
      </c>
      <c r="C75" s="5" t="s">
        <v>115</v>
      </c>
      <c r="D75" s="5" t="s">
        <v>194</v>
      </c>
      <c r="E75" s="28">
        <v>-0.48307022480971423</v>
      </c>
      <c r="F75" s="28">
        <v>-9.8702955195424007</v>
      </c>
    </row>
    <row r="76" spans="1:6" x14ac:dyDescent="0.45">
      <c r="A76" s="5" t="s">
        <v>4</v>
      </c>
      <c r="B76" s="5" t="s">
        <v>186</v>
      </c>
      <c r="C76" s="5" t="s">
        <v>302</v>
      </c>
      <c r="D76" s="5" t="s">
        <v>195</v>
      </c>
      <c r="E76" s="28">
        <v>-0.3438323364822084</v>
      </c>
      <c r="F76" s="28">
        <v>-10.360295519542401</v>
      </c>
    </row>
    <row r="77" spans="1:6" x14ac:dyDescent="0.45">
      <c r="A77" s="5" t="s">
        <v>4</v>
      </c>
      <c r="B77" s="5" t="s">
        <v>186</v>
      </c>
      <c r="C77" s="5" t="s">
        <v>303</v>
      </c>
      <c r="D77" s="5" t="s">
        <v>195</v>
      </c>
      <c r="E77" s="28">
        <v>-0.3438323364822084</v>
      </c>
      <c r="F77" s="28">
        <v>-10.360295519542401</v>
      </c>
    </row>
    <row r="78" spans="1:6" x14ac:dyDescent="0.45">
      <c r="A78" s="5" t="s">
        <v>4</v>
      </c>
      <c r="B78" s="5" t="s">
        <v>186</v>
      </c>
      <c r="C78" s="5" t="s">
        <v>106</v>
      </c>
      <c r="D78" s="5" t="s">
        <v>196</v>
      </c>
      <c r="E78" s="28">
        <v>-0.27563418709730753</v>
      </c>
      <c r="F78" s="28">
        <v>-10.600295519542399</v>
      </c>
    </row>
    <row r="79" spans="1:6" x14ac:dyDescent="0.45">
      <c r="A79" s="5" t="s">
        <v>4</v>
      </c>
      <c r="B79" s="5" t="s">
        <v>186</v>
      </c>
      <c r="C79" s="5" t="s">
        <v>121</v>
      </c>
      <c r="D79" s="5" t="s">
        <v>197</v>
      </c>
      <c r="E79" s="28">
        <v>-0.43476320232874283</v>
      </c>
      <c r="F79" s="28">
        <v>-10.040295519542401</v>
      </c>
    </row>
    <row r="80" spans="1:6" x14ac:dyDescent="0.45">
      <c r="A80" s="5" t="s">
        <v>4</v>
      </c>
      <c r="B80" s="5" t="s">
        <v>186</v>
      </c>
      <c r="C80" s="5" t="s">
        <v>117</v>
      </c>
      <c r="D80" s="5" t="s">
        <v>198</v>
      </c>
      <c r="E80" s="28">
        <v>-0.4205552545402218</v>
      </c>
      <c r="F80" s="28">
        <v>-10.0902955195424</v>
      </c>
    </row>
    <row r="81" spans="1:6" x14ac:dyDescent="0.45">
      <c r="A81" s="5" t="s">
        <v>4</v>
      </c>
      <c r="B81" s="5" t="s">
        <v>186</v>
      </c>
      <c r="C81" s="5" t="s">
        <v>119</v>
      </c>
      <c r="D81" s="5" t="s">
        <v>199</v>
      </c>
      <c r="E81" s="28">
        <v>-0.51148612038675634</v>
      </c>
      <c r="F81" s="28">
        <v>-9.7702955195423993</v>
      </c>
    </row>
    <row r="82" spans="1:6" x14ac:dyDescent="0.45">
      <c r="A82" s="5" t="s">
        <v>4</v>
      </c>
      <c r="B82" s="5" t="s">
        <v>186</v>
      </c>
      <c r="C82" s="5" t="s">
        <v>102</v>
      </c>
      <c r="D82" s="5" t="s">
        <v>200</v>
      </c>
      <c r="E82" s="28">
        <v>-0.59673380711788238</v>
      </c>
      <c r="F82" s="28">
        <v>-9.4702955195424003</v>
      </c>
    </row>
    <row r="83" spans="1:6" x14ac:dyDescent="0.45">
      <c r="A83" s="5" t="s">
        <v>4</v>
      </c>
      <c r="B83" s="5" t="s">
        <v>186</v>
      </c>
      <c r="C83" s="5" t="s">
        <v>138</v>
      </c>
      <c r="D83" s="5" t="s">
        <v>201</v>
      </c>
      <c r="E83" s="28">
        <v>5.6831791154084033E-3</v>
      </c>
      <c r="F83" s="28">
        <v>-11.5902955195424</v>
      </c>
    </row>
    <row r="84" spans="1:6" x14ac:dyDescent="0.45">
      <c r="A84" s="5" t="s">
        <v>4</v>
      </c>
      <c r="B84" s="5" t="s">
        <v>186</v>
      </c>
      <c r="C84" s="5" t="s">
        <v>123</v>
      </c>
      <c r="D84" s="5" t="s">
        <v>202</v>
      </c>
      <c r="E84" s="28">
        <v>-0.53421883684838989</v>
      </c>
      <c r="F84" s="28">
        <v>-9.6902955195423992</v>
      </c>
    </row>
    <row r="85" spans="1:6" x14ac:dyDescent="0.45">
      <c r="A85" s="5" t="s">
        <v>4</v>
      </c>
      <c r="B85" s="5" t="s">
        <v>186</v>
      </c>
      <c r="C85" s="5" t="s">
        <v>108</v>
      </c>
      <c r="D85" s="5" t="s">
        <v>203</v>
      </c>
      <c r="E85" s="28">
        <v>-2.7080348484921037</v>
      </c>
      <c r="F85" s="28">
        <v>-2.0402955195424006</v>
      </c>
    </row>
    <row r="86" spans="1:6" x14ac:dyDescent="0.45">
      <c r="A86" s="5" t="s">
        <v>4</v>
      </c>
      <c r="B86" s="5" t="s">
        <v>186</v>
      </c>
      <c r="C86" s="5" t="s">
        <v>125</v>
      </c>
      <c r="D86" s="5" t="s">
        <v>204</v>
      </c>
      <c r="E86" s="28">
        <v>-76.921829327052734</v>
      </c>
      <c r="F86" s="28">
        <v>259.12970448045758</v>
      </c>
    </row>
    <row r="87" spans="1:6" x14ac:dyDescent="0.45">
      <c r="A87" s="5" t="s">
        <v>2</v>
      </c>
      <c r="B87" s="5" t="s">
        <v>205</v>
      </c>
      <c r="C87" s="5" t="s">
        <v>335</v>
      </c>
      <c r="D87" s="5" t="s">
        <v>206</v>
      </c>
      <c r="E87" s="28">
        <v>-0.2742023229756349</v>
      </c>
      <c r="F87" s="28">
        <v>-3.10437607820587</v>
      </c>
    </row>
    <row r="88" spans="1:6" x14ac:dyDescent="0.45">
      <c r="A88" s="5" t="s">
        <v>2</v>
      </c>
      <c r="B88" s="5" t="s">
        <v>205</v>
      </c>
      <c r="C88" s="5" t="s">
        <v>112</v>
      </c>
      <c r="D88" s="5" t="s">
        <v>207</v>
      </c>
      <c r="E88" s="28">
        <v>-0.37866035077587673</v>
      </c>
      <c r="F88" s="28">
        <v>-3.02437607820587</v>
      </c>
    </row>
    <row r="89" spans="1:6" x14ac:dyDescent="0.45">
      <c r="A89" s="5" t="s">
        <v>2</v>
      </c>
      <c r="B89" s="5" t="s">
        <v>205</v>
      </c>
      <c r="C89" s="5" t="s">
        <v>117</v>
      </c>
      <c r="D89" s="5" t="s">
        <v>208</v>
      </c>
      <c r="E89" s="28">
        <v>-0.4308893646759977</v>
      </c>
      <c r="F89" s="28">
        <v>-2.9843760782058699</v>
      </c>
    </row>
    <row r="90" spans="1:6" x14ac:dyDescent="0.45">
      <c r="A90" s="5" t="s">
        <v>2</v>
      </c>
      <c r="B90" s="5" t="s">
        <v>205</v>
      </c>
      <c r="C90" s="5" t="s">
        <v>129</v>
      </c>
      <c r="D90" s="5" t="s">
        <v>209</v>
      </c>
      <c r="E90" s="28">
        <v>-0.35254584382581633</v>
      </c>
      <c r="F90" s="28">
        <v>-3.04437607820587</v>
      </c>
    </row>
    <row r="91" spans="1:6" x14ac:dyDescent="0.45">
      <c r="A91" s="5" t="s">
        <v>2</v>
      </c>
      <c r="B91" s="5" t="s">
        <v>205</v>
      </c>
      <c r="C91" s="5" t="s">
        <v>123</v>
      </c>
      <c r="D91" s="5" t="s">
        <v>210</v>
      </c>
      <c r="E91" s="28">
        <v>-0.47006112510108838</v>
      </c>
      <c r="F91" s="28">
        <v>-2.9543760782058701</v>
      </c>
    </row>
    <row r="92" spans="1:6" x14ac:dyDescent="0.45">
      <c r="A92" s="5" t="s">
        <v>2</v>
      </c>
      <c r="B92" s="5" t="s">
        <v>205</v>
      </c>
      <c r="C92" s="5" t="s">
        <v>127</v>
      </c>
      <c r="D92" s="5" t="s">
        <v>211</v>
      </c>
      <c r="E92" s="28">
        <v>-0.49617563205114884</v>
      </c>
      <c r="F92" s="28">
        <v>-2.9343760782058701</v>
      </c>
    </row>
    <row r="93" spans="1:6" x14ac:dyDescent="0.45">
      <c r="A93" s="5" t="s">
        <v>2</v>
      </c>
      <c r="B93" s="5" t="s">
        <v>205</v>
      </c>
      <c r="C93" s="5" t="s">
        <v>121</v>
      </c>
      <c r="D93" s="5" t="s">
        <v>212</v>
      </c>
      <c r="E93" s="28">
        <v>-0.41783211120096747</v>
      </c>
      <c r="F93" s="28">
        <v>-2.9943760782058702</v>
      </c>
    </row>
    <row r="94" spans="1:6" x14ac:dyDescent="0.45">
      <c r="A94" s="5" t="s">
        <v>2</v>
      </c>
      <c r="B94" s="5" t="s">
        <v>205</v>
      </c>
      <c r="C94" s="5" t="s">
        <v>304</v>
      </c>
      <c r="D94" s="5" t="s">
        <v>213</v>
      </c>
      <c r="E94" s="28">
        <v>-0.56146189942629998</v>
      </c>
      <c r="F94" s="28">
        <v>-2.8843760782058698</v>
      </c>
    </row>
    <row r="95" spans="1:6" x14ac:dyDescent="0.45">
      <c r="A95" s="5" t="s">
        <v>2</v>
      </c>
      <c r="B95" s="5" t="s">
        <v>205</v>
      </c>
      <c r="C95" s="5" t="s">
        <v>115</v>
      </c>
      <c r="D95" s="5" t="s">
        <v>214</v>
      </c>
      <c r="E95" s="28">
        <v>-0.57451915290133027</v>
      </c>
      <c r="F95" s="28">
        <v>-2.87437607820587</v>
      </c>
    </row>
    <row r="96" spans="1:6" x14ac:dyDescent="0.45">
      <c r="A96" s="5" t="s">
        <v>2</v>
      </c>
      <c r="B96" s="5" t="s">
        <v>205</v>
      </c>
      <c r="C96" s="5" t="s">
        <v>331</v>
      </c>
      <c r="D96" s="5" t="s">
        <v>215</v>
      </c>
      <c r="E96" s="28">
        <v>-0.50923288552617907</v>
      </c>
      <c r="F96" s="28">
        <v>-2.9243760782058699</v>
      </c>
    </row>
    <row r="97" spans="1:6" x14ac:dyDescent="0.45">
      <c r="A97" s="5" t="s">
        <v>2</v>
      </c>
      <c r="B97" s="5" t="s">
        <v>205</v>
      </c>
      <c r="C97" s="5" t="s">
        <v>133</v>
      </c>
      <c r="D97" s="5" t="s">
        <v>216</v>
      </c>
      <c r="E97" s="28">
        <v>-0.52229013900120935</v>
      </c>
      <c r="F97" s="28">
        <v>-2.9143760782058701</v>
      </c>
    </row>
    <row r="98" spans="1:6" x14ac:dyDescent="0.45">
      <c r="A98" s="5" t="s">
        <v>2</v>
      </c>
      <c r="B98" s="5" t="s">
        <v>205</v>
      </c>
      <c r="C98" s="5" t="s">
        <v>333</v>
      </c>
      <c r="D98" s="5" t="s">
        <v>217</v>
      </c>
      <c r="E98" s="28">
        <v>7.8343520850181397E-2</v>
      </c>
      <c r="F98" s="28">
        <v>-3.37437607820587</v>
      </c>
    </row>
    <row r="99" spans="1:6" x14ac:dyDescent="0.45">
      <c r="A99" s="5" t="s">
        <v>2</v>
      </c>
      <c r="B99" s="5" t="s">
        <v>205</v>
      </c>
      <c r="C99" s="5" t="s">
        <v>125</v>
      </c>
      <c r="D99" s="5" t="s">
        <v>218</v>
      </c>
      <c r="E99" s="28">
        <v>-0.63980542027648146</v>
      </c>
      <c r="F99" s="28">
        <v>-2.8243760782058702</v>
      </c>
    </row>
    <row r="100" spans="1:6" x14ac:dyDescent="0.45">
      <c r="A100" s="5" t="s">
        <v>2</v>
      </c>
      <c r="B100" s="5" t="s">
        <v>205</v>
      </c>
      <c r="C100" s="5" t="s">
        <v>102</v>
      </c>
      <c r="D100" s="5" t="s">
        <v>219</v>
      </c>
      <c r="E100" s="28">
        <v>-0.57451915290133027</v>
      </c>
      <c r="F100" s="28">
        <v>-2.87437607820587</v>
      </c>
    </row>
    <row r="101" spans="1:6" x14ac:dyDescent="0.45">
      <c r="A101" s="5" t="s">
        <v>2</v>
      </c>
      <c r="B101" s="5" t="s">
        <v>205</v>
      </c>
      <c r="C101" s="5" t="s">
        <v>137</v>
      </c>
      <c r="D101" s="5" t="s">
        <v>220</v>
      </c>
      <c r="E101" s="28">
        <v>-0.61369091332642089</v>
      </c>
      <c r="F101" s="28">
        <v>-2.8443760782058698</v>
      </c>
    </row>
    <row r="102" spans="1:6" x14ac:dyDescent="0.45">
      <c r="A102" s="5" t="s">
        <v>2</v>
      </c>
      <c r="B102" s="5" t="s">
        <v>205</v>
      </c>
      <c r="C102" s="5" t="s">
        <v>106</v>
      </c>
      <c r="D102" s="5" t="s">
        <v>221</v>
      </c>
      <c r="E102" s="28">
        <v>0.15668704170036279</v>
      </c>
      <c r="F102" s="28">
        <v>-3.4343760782058701</v>
      </c>
    </row>
    <row r="103" spans="1:6" x14ac:dyDescent="0.45">
      <c r="A103" s="5" t="s">
        <v>2</v>
      </c>
      <c r="B103" s="5" t="s">
        <v>205</v>
      </c>
      <c r="C103" s="5" t="s">
        <v>138</v>
      </c>
      <c r="D103" s="5" t="s">
        <v>222</v>
      </c>
      <c r="E103" s="28">
        <v>-0.71814894112666283</v>
      </c>
      <c r="F103" s="28">
        <v>-2.7643760782058697</v>
      </c>
    </row>
    <row r="104" spans="1:6" x14ac:dyDescent="0.45">
      <c r="A104" s="5" t="s">
        <v>2</v>
      </c>
      <c r="B104" s="5" t="s">
        <v>205</v>
      </c>
      <c r="C104" s="5" t="s">
        <v>99</v>
      </c>
      <c r="D104" s="5" t="s">
        <v>223</v>
      </c>
      <c r="E104" s="28">
        <v>-0.63980542027648146</v>
      </c>
      <c r="F104" s="28">
        <v>-2.8243760782058702</v>
      </c>
    </row>
    <row r="105" spans="1:6" x14ac:dyDescent="0.45">
      <c r="A105" s="5" t="s">
        <v>2</v>
      </c>
      <c r="B105" s="5" t="s">
        <v>205</v>
      </c>
      <c r="C105" s="5" t="s">
        <v>302</v>
      </c>
      <c r="D105" s="5" t="s">
        <v>224</v>
      </c>
      <c r="E105" s="28">
        <v>-0.67897718070157209</v>
      </c>
      <c r="F105" s="28">
        <v>-2.79437607820587</v>
      </c>
    </row>
    <row r="106" spans="1:6" x14ac:dyDescent="0.45">
      <c r="A106" s="5" t="s">
        <v>2</v>
      </c>
      <c r="B106" s="5" t="s">
        <v>205</v>
      </c>
      <c r="C106" s="5" t="s">
        <v>303</v>
      </c>
      <c r="D106" s="5" t="s">
        <v>225</v>
      </c>
      <c r="E106" s="28">
        <v>-0.67897718070157209</v>
      </c>
      <c r="F106" s="28">
        <v>-2.79437607820587</v>
      </c>
    </row>
    <row r="107" spans="1:6" x14ac:dyDescent="0.45">
      <c r="A107" s="5" t="s">
        <v>2</v>
      </c>
      <c r="B107" s="5" t="s">
        <v>205</v>
      </c>
      <c r="C107" s="5" t="s">
        <v>104</v>
      </c>
      <c r="D107" s="5" t="s">
        <v>226</v>
      </c>
      <c r="E107" s="28">
        <v>-0.69203443417660238</v>
      </c>
      <c r="F107" s="28">
        <v>-2.7843760782058702</v>
      </c>
    </row>
    <row r="108" spans="1:6" x14ac:dyDescent="0.45">
      <c r="A108" s="5" t="s">
        <v>2</v>
      </c>
      <c r="B108" s="5" t="s">
        <v>205</v>
      </c>
      <c r="C108" s="5" t="s">
        <v>119</v>
      </c>
      <c r="D108" s="5" t="s">
        <v>227</v>
      </c>
      <c r="E108" s="28">
        <v>-0.71814894112666283</v>
      </c>
      <c r="F108" s="28">
        <v>-2.7643760782058697</v>
      </c>
    </row>
    <row r="109" spans="1:6" x14ac:dyDescent="0.45">
      <c r="A109" s="5" t="s">
        <v>2</v>
      </c>
      <c r="B109" s="5" t="s">
        <v>205</v>
      </c>
      <c r="C109" s="5" t="s">
        <v>131</v>
      </c>
      <c r="D109" s="5" t="s">
        <v>228</v>
      </c>
      <c r="E109" s="28">
        <v>-0.77037795502678375</v>
      </c>
      <c r="F109" s="28">
        <v>-2.7243760782058701</v>
      </c>
    </row>
    <row r="110" spans="1:6" x14ac:dyDescent="0.45">
      <c r="A110" s="5" t="s">
        <v>2</v>
      </c>
      <c r="B110" s="5" t="s">
        <v>205</v>
      </c>
      <c r="C110" s="5" t="s">
        <v>135</v>
      </c>
      <c r="D110" s="5" t="s">
        <v>229</v>
      </c>
      <c r="E110" s="28">
        <v>-1.1359810523276304</v>
      </c>
      <c r="F110" s="28">
        <v>-2.4443760782058699</v>
      </c>
    </row>
    <row r="111" spans="1:6" x14ac:dyDescent="0.45">
      <c r="A111" s="5" t="s">
        <v>5</v>
      </c>
      <c r="B111" s="5" t="s">
        <v>230</v>
      </c>
      <c r="C111" s="5" t="s">
        <v>131</v>
      </c>
      <c r="D111" s="5" t="s">
        <v>231</v>
      </c>
      <c r="E111" s="28">
        <v>0.45692205006484332</v>
      </c>
      <c r="F111" s="28">
        <v>-7.4933333333333296</v>
      </c>
    </row>
    <row r="112" spans="1:6" x14ac:dyDescent="0.45">
      <c r="A112" s="5" t="s">
        <v>5</v>
      </c>
      <c r="B112" s="5" t="s">
        <v>230</v>
      </c>
      <c r="C112" s="5" t="s">
        <v>138</v>
      </c>
      <c r="D112" s="5" t="s">
        <v>232</v>
      </c>
      <c r="E112" s="28">
        <v>0.36284986328678737</v>
      </c>
      <c r="F112" s="28">
        <v>-7.4233333333333302</v>
      </c>
    </row>
    <row r="113" spans="1:6" x14ac:dyDescent="0.45">
      <c r="A113" s="5" t="s">
        <v>5</v>
      </c>
      <c r="B113" s="5" t="s">
        <v>230</v>
      </c>
      <c r="C113" s="5" t="s">
        <v>135</v>
      </c>
      <c r="D113" s="5" t="s">
        <v>233</v>
      </c>
      <c r="E113" s="28">
        <v>0.30909432798504111</v>
      </c>
      <c r="F113" s="28">
        <v>-7.3833333333333302</v>
      </c>
    </row>
    <row r="114" spans="1:6" x14ac:dyDescent="0.45">
      <c r="A114" s="5" t="s">
        <v>5</v>
      </c>
      <c r="B114" s="5" t="s">
        <v>230</v>
      </c>
      <c r="C114" s="5" t="s">
        <v>99</v>
      </c>
      <c r="D114" s="5" t="s">
        <v>234</v>
      </c>
      <c r="E114" s="28">
        <v>8.0633302952619404E-2</v>
      </c>
      <c r="F114" s="28">
        <v>-7.2133333333333294</v>
      </c>
    </row>
    <row r="115" spans="1:6" x14ac:dyDescent="0.45">
      <c r="A115" s="5" t="s">
        <v>5</v>
      </c>
      <c r="B115" s="5" t="s">
        <v>230</v>
      </c>
      <c r="C115" s="5" t="s">
        <v>303</v>
      </c>
      <c r="D115" s="5" t="s">
        <v>235</v>
      </c>
      <c r="E115" s="28">
        <v>-0.94072186778055966</v>
      </c>
      <c r="F115" s="28">
        <v>-6.4533333333333296</v>
      </c>
    </row>
    <row r="116" spans="1:6" x14ac:dyDescent="0.45">
      <c r="A116" s="5" t="s">
        <v>5</v>
      </c>
      <c r="B116" s="5" t="s">
        <v>230</v>
      </c>
      <c r="C116" s="5" t="s">
        <v>117</v>
      </c>
      <c r="D116" s="5" t="s">
        <v>236</v>
      </c>
      <c r="E116" s="28">
        <v>-0.81977191335163069</v>
      </c>
      <c r="F116" s="28">
        <v>-6.5433333333333294</v>
      </c>
    </row>
    <row r="117" spans="1:6" x14ac:dyDescent="0.45">
      <c r="A117" s="5" t="s">
        <v>5</v>
      </c>
      <c r="B117" s="5" t="s">
        <v>230</v>
      </c>
      <c r="C117" s="5" t="s">
        <v>137</v>
      </c>
      <c r="D117" s="5" t="s">
        <v>237</v>
      </c>
      <c r="E117" s="28">
        <v>-0.72569972657357473</v>
      </c>
      <c r="F117" s="28">
        <v>-6.6133333333333297</v>
      </c>
    </row>
    <row r="118" spans="1:6" x14ac:dyDescent="0.45">
      <c r="A118" s="5" t="s">
        <v>5</v>
      </c>
      <c r="B118" s="5" t="s">
        <v>230</v>
      </c>
      <c r="C118" s="5" t="s">
        <v>302</v>
      </c>
      <c r="D118" s="5" t="s">
        <v>238</v>
      </c>
      <c r="E118" s="28">
        <v>-0.81977191335163069</v>
      </c>
      <c r="F118" s="28">
        <v>-6.5433333333333294</v>
      </c>
    </row>
    <row r="119" spans="1:6" x14ac:dyDescent="0.45">
      <c r="A119" s="5" t="s">
        <v>5</v>
      </c>
      <c r="B119" s="5" t="s">
        <v>230</v>
      </c>
      <c r="C119" s="5" t="s">
        <v>106</v>
      </c>
      <c r="D119" s="5" t="s">
        <v>239</v>
      </c>
      <c r="E119" s="28">
        <v>-1.2632550795910373</v>
      </c>
      <c r="F119" s="28">
        <v>-6.2133333333333294</v>
      </c>
    </row>
    <row r="120" spans="1:6" x14ac:dyDescent="0.45">
      <c r="A120" s="5" t="s">
        <v>1</v>
      </c>
      <c r="B120" s="5" t="s">
        <v>240</v>
      </c>
      <c r="C120" s="5" t="s">
        <v>138</v>
      </c>
      <c r="D120" s="5" t="s">
        <v>241</v>
      </c>
      <c r="E120" s="28">
        <v>0.13195817212383146</v>
      </c>
      <c r="F120" s="28">
        <v>-6.2203999999999997</v>
      </c>
    </row>
    <row r="121" spans="1:6" x14ac:dyDescent="0.45">
      <c r="A121" s="5" t="s">
        <v>1</v>
      </c>
      <c r="B121" s="5" t="s">
        <v>240</v>
      </c>
      <c r="C121" s="5" t="s">
        <v>135</v>
      </c>
      <c r="D121" s="5" t="s">
        <v>242</v>
      </c>
      <c r="E121" s="28">
        <v>8.6280343311735952E-2</v>
      </c>
      <c r="F121" s="28">
        <v>-6.1303999999999998</v>
      </c>
    </row>
    <row r="122" spans="1:6" x14ac:dyDescent="0.45">
      <c r="A122" s="5" t="s">
        <v>1</v>
      </c>
      <c r="B122" s="5" t="s">
        <v>240</v>
      </c>
      <c r="C122" s="5" t="s">
        <v>333</v>
      </c>
      <c r="D122" s="5" t="s">
        <v>243</v>
      </c>
      <c r="E122" s="28">
        <v>-3.0451885874730335E-2</v>
      </c>
      <c r="F122" s="28">
        <v>-5.9004000000000003</v>
      </c>
    </row>
    <row r="123" spans="1:6" x14ac:dyDescent="0.45">
      <c r="A123" s="5" t="s">
        <v>1</v>
      </c>
      <c r="B123" s="5" t="s">
        <v>240</v>
      </c>
      <c r="C123" s="5" t="s">
        <v>119</v>
      </c>
      <c r="D123" s="5" t="s">
        <v>244</v>
      </c>
      <c r="E123" s="28">
        <v>-8.6280343311735952E-2</v>
      </c>
      <c r="F123" s="28">
        <v>-5.7904</v>
      </c>
    </row>
    <row r="124" spans="1:6" x14ac:dyDescent="0.45">
      <c r="A124" s="5" t="s">
        <v>1</v>
      </c>
      <c r="B124" s="5" t="s">
        <v>240</v>
      </c>
      <c r="C124" s="5" t="s">
        <v>102</v>
      </c>
      <c r="D124" s="5" t="s">
        <v>245</v>
      </c>
      <c r="E124" s="28">
        <v>-0.17763600093592694</v>
      </c>
      <c r="F124" s="28">
        <v>-5.6104000000000003</v>
      </c>
    </row>
    <row r="125" spans="1:6" x14ac:dyDescent="0.45">
      <c r="A125" s="5" t="s">
        <v>1</v>
      </c>
      <c r="B125" s="5" t="s">
        <v>240</v>
      </c>
      <c r="C125" s="5" t="s">
        <v>121</v>
      </c>
      <c r="D125" s="5" t="s">
        <v>246</v>
      </c>
      <c r="E125" s="28">
        <v>-0.21823851543556741</v>
      </c>
      <c r="F125" s="28">
        <v>-5.5304000000000002</v>
      </c>
    </row>
    <row r="126" spans="1:6" x14ac:dyDescent="0.45">
      <c r="A126" s="5" t="s">
        <v>1</v>
      </c>
      <c r="B126" s="5" t="s">
        <v>240</v>
      </c>
      <c r="C126" s="5" t="s">
        <v>108</v>
      </c>
      <c r="D126" s="5" t="s">
        <v>247</v>
      </c>
      <c r="E126" s="28">
        <v>-0.29944354443484827</v>
      </c>
      <c r="F126" s="28">
        <v>-5.3704000000000001</v>
      </c>
    </row>
    <row r="127" spans="1:6" x14ac:dyDescent="0.45">
      <c r="A127" s="5" t="s">
        <v>1</v>
      </c>
      <c r="B127" s="5" t="s">
        <v>240</v>
      </c>
      <c r="C127" s="5" t="s">
        <v>133</v>
      </c>
      <c r="D127" s="5" t="s">
        <v>248</v>
      </c>
      <c r="E127" s="28">
        <v>-4.0602514499640446E-2</v>
      </c>
      <c r="F127" s="28">
        <v>-5.8803999999999998</v>
      </c>
    </row>
    <row r="128" spans="1:6" x14ac:dyDescent="0.45">
      <c r="A128" s="5" t="s">
        <v>1</v>
      </c>
      <c r="B128" s="5" t="s">
        <v>240</v>
      </c>
      <c r="C128" s="5" t="s">
        <v>115</v>
      </c>
      <c r="D128" s="5" t="s">
        <v>249</v>
      </c>
      <c r="E128" s="28">
        <v>-0.46185360243341012</v>
      </c>
      <c r="F128" s="28">
        <v>-5.0503999999999998</v>
      </c>
    </row>
    <row r="129" spans="1:6" x14ac:dyDescent="0.45">
      <c r="A129" s="5" t="s">
        <v>1</v>
      </c>
      <c r="B129" s="5" t="s">
        <v>240</v>
      </c>
      <c r="C129" s="5" t="s">
        <v>123</v>
      </c>
      <c r="D129" s="5" t="s">
        <v>250</v>
      </c>
      <c r="E129" s="28">
        <v>-0.44662765949604494</v>
      </c>
      <c r="F129" s="28">
        <v>-5.0804</v>
      </c>
    </row>
    <row r="130" spans="1:6" x14ac:dyDescent="0.45">
      <c r="A130" s="5" t="s">
        <v>1</v>
      </c>
      <c r="B130" s="5" t="s">
        <v>240</v>
      </c>
      <c r="C130" s="5" t="s">
        <v>99</v>
      </c>
      <c r="D130" s="5" t="s">
        <v>251</v>
      </c>
      <c r="E130" s="28">
        <v>-0.88310469036717976</v>
      </c>
      <c r="F130" s="28">
        <v>-4.2203999999999997</v>
      </c>
    </row>
    <row r="131" spans="1:6" x14ac:dyDescent="0.45">
      <c r="A131" s="5" t="s">
        <v>1</v>
      </c>
      <c r="B131" s="5" t="s">
        <v>240</v>
      </c>
      <c r="C131" s="5" t="s">
        <v>131</v>
      </c>
      <c r="D131" s="5" t="s">
        <v>252</v>
      </c>
      <c r="E131" s="28">
        <v>1.5225942937365167E-2</v>
      </c>
      <c r="F131" s="28">
        <v>-5.9904000000000002</v>
      </c>
    </row>
    <row r="132" spans="1:6" x14ac:dyDescent="0.45">
      <c r="A132" s="5" t="s">
        <v>1</v>
      </c>
      <c r="B132" s="5" t="s">
        <v>240</v>
      </c>
      <c r="C132" s="5" t="s">
        <v>137</v>
      </c>
      <c r="D132" s="5" t="s">
        <v>253</v>
      </c>
      <c r="E132" s="28">
        <v>-1.1926988634269382</v>
      </c>
      <c r="F132" s="28">
        <v>-3.6103999999999998</v>
      </c>
    </row>
    <row r="133" spans="1:6" x14ac:dyDescent="0.45">
      <c r="A133" s="5" t="s">
        <v>1</v>
      </c>
      <c r="B133" s="5" t="s">
        <v>240</v>
      </c>
      <c r="C133" s="5" t="s">
        <v>331</v>
      </c>
      <c r="D133" s="5" t="s">
        <v>254</v>
      </c>
      <c r="E133" s="28">
        <v>-0.7917490327429888</v>
      </c>
      <c r="F133" s="28">
        <v>-4.4003999999999994</v>
      </c>
    </row>
    <row r="134" spans="1:6" x14ac:dyDescent="0.45">
      <c r="A134" s="5" t="s">
        <v>1</v>
      </c>
      <c r="B134" s="5" t="s">
        <v>240</v>
      </c>
      <c r="C134" s="5" t="s">
        <v>117</v>
      </c>
      <c r="D134" s="5" t="s">
        <v>255</v>
      </c>
      <c r="E134" s="28">
        <v>-1.3804854929877752</v>
      </c>
      <c r="F134" s="28">
        <v>-3.2403999999999997</v>
      </c>
    </row>
    <row r="135" spans="1:6" x14ac:dyDescent="0.45">
      <c r="A135" s="5" t="s">
        <v>1</v>
      </c>
      <c r="B135" s="5" t="s">
        <v>240</v>
      </c>
      <c r="C135" s="5" t="s">
        <v>106</v>
      </c>
      <c r="D135" s="5" t="s">
        <v>256</v>
      </c>
      <c r="E135" s="28">
        <v>4.0602514499640446E-2</v>
      </c>
      <c r="F135" s="28">
        <v>-6.0404</v>
      </c>
    </row>
    <row r="136" spans="1:6" x14ac:dyDescent="0.45">
      <c r="A136" s="5" t="s">
        <v>6</v>
      </c>
      <c r="B136" s="5" t="s">
        <v>257</v>
      </c>
      <c r="C136" s="5" t="s">
        <v>302</v>
      </c>
      <c r="D136" s="5" t="s">
        <v>258</v>
      </c>
      <c r="E136" s="28">
        <v>0.36498168269294412</v>
      </c>
      <c r="F136" s="28">
        <v>-9.8912834224598889</v>
      </c>
    </row>
    <row r="137" spans="1:6" x14ac:dyDescent="0.45">
      <c r="A137" s="5" t="s">
        <v>6</v>
      </c>
      <c r="B137" s="5" t="s">
        <v>257</v>
      </c>
      <c r="C137" s="5" t="s">
        <v>303</v>
      </c>
      <c r="D137" s="5" t="s">
        <v>259</v>
      </c>
      <c r="E137" s="28">
        <v>0.12166056089764803</v>
      </c>
      <c r="F137" s="28">
        <v>-9.59128342245989</v>
      </c>
    </row>
    <row r="138" spans="1:6" x14ac:dyDescent="0.45">
      <c r="A138" s="5" t="s">
        <v>6</v>
      </c>
      <c r="B138" s="5" t="s">
        <v>257</v>
      </c>
      <c r="C138" s="5" t="s">
        <v>117</v>
      </c>
      <c r="D138" s="5" t="s">
        <v>260</v>
      </c>
      <c r="E138" s="28">
        <v>1.6221408119686406E-2</v>
      </c>
      <c r="F138" s="28">
        <v>-9.4612834224598892</v>
      </c>
    </row>
    <row r="139" spans="1:6" x14ac:dyDescent="0.45">
      <c r="A139" s="5" t="s">
        <v>6</v>
      </c>
      <c r="B139" s="5" t="s">
        <v>257</v>
      </c>
      <c r="C139" s="5" t="s">
        <v>106</v>
      </c>
      <c r="D139" s="5" t="s">
        <v>261</v>
      </c>
      <c r="E139" s="28">
        <v>0.83869563028157945</v>
      </c>
      <c r="F139" s="28">
        <v>-10.475343627459889</v>
      </c>
    </row>
    <row r="140" spans="1:6" x14ac:dyDescent="0.45">
      <c r="A140" s="5" t="s">
        <v>6</v>
      </c>
      <c r="B140" s="5" t="s">
        <v>257</v>
      </c>
      <c r="C140" s="5" t="s">
        <v>127</v>
      </c>
      <c r="D140" s="5" t="s">
        <v>262</v>
      </c>
      <c r="E140" s="28">
        <v>0.72514577344377462</v>
      </c>
      <c r="F140" s="28">
        <v>-10.33534362745989</v>
      </c>
    </row>
    <row r="141" spans="1:6" x14ac:dyDescent="0.45">
      <c r="A141" s="5" t="s">
        <v>6</v>
      </c>
      <c r="B141" s="5" t="s">
        <v>257</v>
      </c>
      <c r="C141" s="5" t="s">
        <v>108</v>
      </c>
      <c r="D141" s="5" t="s">
        <v>263</v>
      </c>
      <c r="E141" s="28">
        <v>0.68459225314455852</v>
      </c>
      <c r="F141" s="28">
        <v>-10.28534362745989</v>
      </c>
    </row>
    <row r="142" spans="1:6" x14ac:dyDescent="0.45">
      <c r="A142" s="5" t="s">
        <v>6</v>
      </c>
      <c r="B142" s="5" t="s">
        <v>257</v>
      </c>
      <c r="C142" s="5" t="s">
        <v>304</v>
      </c>
      <c r="D142" s="5" t="s">
        <v>264</v>
      </c>
      <c r="E142" s="28">
        <v>0.49804605976816491</v>
      </c>
      <c r="F142" s="28">
        <v>-10.055343627459889</v>
      </c>
    </row>
    <row r="143" spans="1:6" x14ac:dyDescent="0.45">
      <c r="A143" s="5" t="s">
        <v>6</v>
      </c>
      <c r="B143" s="5" t="s">
        <v>257</v>
      </c>
      <c r="C143" s="5" t="s">
        <v>99</v>
      </c>
      <c r="D143" s="5" t="s">
        <v>265</v>
      </c>
      <c r="E143" s="28">
        <v>0.44938183540910565</v>
      </c>
      <c r="F143" s="28">
        <v>-9.9953436274598904</v>
      </c>
    </row>
    <row r="144" spans="1:6" x14ac:dyDescent="0.45">
      <c r="A144" s="5" t="s">
        <v>6</v>
      </c>
      <c r="B144" s="5" t="s">
        <v>257</v>
      </c>
      <c r="C144" s="5" t="s">
        <v>135</v>
      </c>
      <c r="D144" s="5" t="s">
        <v>266</v>
      </c>
      <c r="E144" s="28">
        <v>0.40071761105004644</v>
      </c>
      <c r="F144" s="28">
        <v>-9.9353436274598899</v>
      </c>
    </row>
    <row r="145" spans="1:6" x14ac:dyDescent="0.45">
      <c r="A145" s="5" t="s">
        <v>6</v>
      </c>
      <c r="B145" s="5" t="s">
        <v>257</v>
      </c>
      <c r="C145" s="5" t="s">
        <v>137</v>
      </c>
      <c r="D145" s="5" t="s">
        <v>267</v>
      </c>
      <c r="E145" s="28">
        <v>0.36016409075083045</v>
      </c>
      <c r="F145" s="28">
        <v>-9.8853436274598891</v>
      </c>
    </row>
    <row r="146" spans="1:6" x14ac:dyDescent="0.45">
      <c r="A146" s="5" t="s">
        <v>6</v>
      </c>
      <c r="B146" s="5" t="s">
        <v>257</v>
      </c>
      <c r="C146" s="5" t="s">
        <v>129</v>
      </c>
      <c r="D146" s="5" t="s">
        <v>268</v>
      </c>
      <c r="E146" s="28">
        <v>0.33583197857130087</v>
      </c>
      <c r="F146" s="28">
        <v>-9.8553436274598898</v>
      </c>
    </row>
    <row r="147" spans="1:6" x14ac:dyDescent="0.45">
      <c r="A147" s="5" t="s">
        <v>6</v>
      </c>
      <c r="B147" s="5" t="s">
        <v>257</v>
      </c>
      <c r="C147" s="5" t="s">
        <v>133</v>
      </c>
      <c r="D147" s="5" t="s">
        <v>269</v>
      </c>
      <c r="E147" s="28">
        <v>0.27905705015239846</v>
      </c>
      <c r="F147" s="28">
        <v>-9.7853436274598895</v>
      </c>
    </row>
    <row r="148" spans="1:6" x14ac:dyDescent="0.45">
      <c r="A148" s="5" t="s">
        <v>6</v>
      </c>
      <c r="B148" s="5" t="s">
        <v>257</v>
      </c>
      <c r="C148" s="5" t="s">
        <v>119</v>
      </c>
      <c r="D148" s="5" t="s">
        <v>270</v>
      </c>
      <c r="E148" s="28">
        <v>0.26283564203271204</v>
      </c>
      <c r="F148" s="28">
        <v>-9.7653436274598899</v>
      </c>
    </row>
    <row r="149" spans="1:6" x14ac:dyDescent="0.45">
      <c r="A149" s="5" t="s">
        <v>6</v>
      </c>
      <c r="B149" s="5" t="s">
        <v>257</v>
      </c>
      <c r="C149" s="5" t="s">
        <v>138</v>
      </c>
      <c r="D149" s="5" t="s">
        <v>271</v>
      </c>
      <c r="E149" s="28">
        <v>0.25472493797286883</v>
      </c>
      <c r="F149" s="28">
        <v>-9.7553436274598901</v>
      </c>
    </row>
    <row r="150" spans="1:6" x14ac:dyDescent="0.45">
      <c r="A150" s="5" t="s">
        <v>6</v>
      </c>
      <c r="B150" s="5" t="s">
        <v>257</v>
      </c>
      <c r="C150" s="5" t="s">
        <v>131</v>
      </c>
      <c r="D150" s="5" t="s">
        <v>272</v>
      </c>
      <c r="E150" s="28">
        <v>0.25472493797286883</v>
      </c>
      <c r="F150" s="28">
        <v>-9.7553436274598901</v>
      </c>
    </row>
    <row r="151" spans="1:6" x14ac:dyDescent="0.45">
      <c r="A151" s="5" t="s">
        <v>6</v>
      </c>
      <c r="B151" s="5" t="s">
        <v>257</v>
      </c>
      <c r="C151" s="5" t="s">
        <v>331</v>
      </c>
      <c r="D151" s="5" t="s">
        <v>273</v>
      </c>
      <c r="E151" s="28">
        <v>8.4400152716161594E-2</v>
      </c>
      <c r="F151" s="28">
        <v>-9.5453436274598893</v>
      </c>
    </row>
    <row r="152" spans="1:6" x14ac:dyDescent="0.45">
      <c r="A152" s="5" t="s">
        <v>6</v>
      </c>
      <c r="B152" s="5" t="s">
        <v>257</v>
      </c>
      <c r="C152" s="5" t="s">
        <v>112</v>
      </c>
      <c r="D152" s="5" t="s">
        <v>274</v>
      </c>
      <c r="E152" s="28">
        <v>1.9514520237415973E-2</v>
      </c>
      <c r="F152" s="28">
        <v>-9.4653436274598892</v>
      </c>
    </row>
    <row r="153" spans="1:6" x14ac:dyDescent="0.45">
      <c r="A153" s="5" t="s">
        <v>6</v>
      </c>
      <c r="B153" s="5" t="s">
        <v>257</v>
      </c>
      <c r="C153" s="5" t="s">
        <v>121</v>
      </c>
      <c r="D153" s="5" t="s">
        <v>275</v>
      </c>
      <c r="E153" s="28">
        <v>-0.95706307906149779</v>
      </c>
      <c r="F153" s="28">
        <v>-8.2612834224598899</v>
      </c>
    </row>
    <row r="154" spans="1:6" x14ac:dyDescent="0.45">
      <c r="A154" s="5" t="s">
        <v>6</v>
      </c>
      <c r="B154" s="5" t="s">
        <v>257</v>
      </c>
      <c r="C154" s="5" t="s">
        <v>333</v>
      </c>
      <c r="D154" s="5" t="s">
        <v>276</v>
      </c>
      <c r="E154" s="28">
        <v>7.2996336538588821E-2</v>
      </c>
      <c r="F154" s="28">
        <v>-9.5312834224598895</v>
      </c>
    </row>
    <row r="155" spans="1:6" x14ac:dyDescent="0.45">
      <c r="A155" s="5" t="s">
        <v>6</v>
      </c>
      <c r="B155" s="5" t="s">
        <v>257</v>
      </c>
      <c r="C155" s="5" t="s">
        <v>123</v>
      </c>
      <c r="D155" s="5" t="s">
        <v>277</v>
      </c>
      <c r="E155" s="28">
        <v>2.7625224297259176E-2</v>
      </c>
      <c r="F155" s="28">
        <v>-9.475343627459889</v>
      </c>
    </row>
    <row r="156" spans="1:6" x14ac:dyDescent="0.45">
      <c r="A156" s="5" t="s">
        <v>6</v>
      </c>
      <c r="B156" s="5" t="s">
        <v>257</v>
      </c>
      <c r="C156" s="5" t="s">
        <v>115</v>
      </c>
      <c r="D156" s="5" t="s">
        <v>278</v>
      </c>
      <c r="E156" s="28">
        <v>0.100621560835848</v>
      </c>
      <c r="F156" s="28">
        <v>-9.5653436274598889</v>
      </c>
    </row>
    <row r="157" spans="1:6" x14ac:dyDescent="0.45">
      <c r="A157" s="5" t="s">
        <v>6</v>
      </c>
      <c r="B157" s="5" t="s">
        <v>257</v>
      </c>
      <c r="C157" s="5" t="s">
        <v>102</v>
      </c>
      <c r="D157" s="5" t="s">
        <v>279</v>
      </c>
      <c r="E157" s="28">
        <v>1.9514520237415973E-2</v>
      </c>
      <c r="F157" s="28">
        <v>-9.4653436274598892</v>
      </c>
    </row>
    <row r="158" spans="1:6" x14ac:dyDescent="0.45">
      <c r="A158" s="5" t="s">
        <v>6</v>
      </c>
      <c r="B158" s="5" t="s">
        <v>257</v>
      </c>
      <c r="C158" s="5" t="s">
        <v>104</v>
      </c>
      <c r="D158" s="5" t="s">
        <v>280</v>
      </c>
      <c r="E158" s="28">
        <v>-1.2490484252158531</v>
      </c>
      <c r="F158" s="28">
        <v>-7.9012834224598896</v>
      </c>
    </row>
    <row r="159" spans="1:6" x14ac:dyDescent="0.45">
      <c r="A159" s="5" t="s">
        <v>0</v>
      </c>
      <c r="B159" s="5" t="s">
        <v>281</v>
      </c>
      <c r="C159" s="5" t="s">
        <v>106</v>
      </c>
      <c r="D159" s="5" t="s">
        <v>282</v>
      </c>
      <c r="E159" s="28">
        <v>0.23422027582054022</v>
      </c>
      <c r="F159" s="28">
        <v>-4.6810013175230596</v>
      </c>
    </row>
    <row r="160" spans="1:6" x14ac:dyDescent="0.45">
      <c r="A160" s="5" t="s">
        <v>0</v>
      </c>
      <c r="B160" s="5" t="s">
        <v>281</v>
      </c>
      <c r="C160" s="5" t="s">
        <v>333</v>
      </c>
      <c r="D160" s="5" t="s">
        <v>283</v>
      </c>
      <c r="E160" s="28">
        <v>0.62458740218810727</v>
      </c>
      <c r="F160" s="28">
        <v>-4.9810013175230594</v>
      </c>
    </row>
    <row r="161" spans="1:6" x14ac:dyDescent="0.45">
      <c r="A161" s="5" t="s">
        <v>0</v>
      </c>
      <c r="B161" s="5" t="s">
        <v>281</v>
      </c>
      <c r="C161" s="5" t="s">
        <v>115</v>
      </c>
      <c r="D161" s="5" t="s">
        <v>284</v>
      </c>
      <c r="E161" s="28">
        <v>6.5061187727927849E-2</v>
      </c>
      <c r="F161" s="28">
        <v>-4.5510013175230597</v>
      </c>
    </row>
    <row r="162" spans="1:6" x14ac:dyDescent="0.45">
      <c r="A162" s="5" t="s">
        <v>0</v>
      </c>
      <c r="B162" s="5" t="s">
        <v>281</v>
      </c>
      <c r="C162" s="5" t="s">
        <v>302</v>
      </c>
      <c r="D162" s="5" t="s">
        <v>285</v>
      </c>
      <c r="E162" s="28">
        <v>2.6024475091171138E-2</v>
      </c>
      <c r="F162" s="28">
        <v>-4.5210013175230594</v>
      </c>
    </row>
    <row r="163" spans="1:6" x14ac:dyDescent="0.45">
      <c r="A163" s="5" t="s">
        <v>0</v>
      </c>
      <c r="B163" s="5" t="s">
        <v>281</v>
      </c>
      <c r="C163" s="5" t="s">
        <v>121</v>
      </c>
      <c r="D163" s="5" t="s">
        <v>286</v>
      </c>
      <c r="E163" s="28">
        <v>-0.96290557837333213</v>
      </c>
      <c r="F163" s="28">
        <v>-3.7610013175230597</v>
      </c>
    </row>
    <row r="164" spans="1:6" x14ac:dyDescent="0.45">
      <c r="A164" s="5" t="s">
        <v>0</v>
      </c>
      <c r="B164" s="5" t="s">
        <v>281</v>
      </c>
      <c r="C164" s="5" t="s">
        <v>102</v>
      </c>
      <c r="D164" s="5" t="s">
        <v>287</v>
      </c>
      <c r="E164" s="28">
        <v>-0.75470977764396296</v>
      </c>
      <c r="F164" s="28">
        <v>-3.9210013175230598</v>
      </c>
    </row>
    <row r="165" spans="1:6" x14ac:dyDescent="0.45">
      <c r="A165" s="5" t="s">
        <v>0</v>
      </c>
      <c r="B165" s="5" t="s">
        <v>281</v>
      </c>
      <c r="C165" s="5" t="s">
        <v>123</v>
      </c>
      <c r="D165" s="5" t="s">
        <v>288</v>
      </c>
      <c r="E165" s="28">
        <v>-0.97591781591891769</v>
      </c>
      <c r="F165" s="28">
        <v>-3.7510013175230599</v>
      </c>
    </row>
    <row r="166" spans="1:6" x14ac:dyDescent="0.45">
      <c r="A166" s="5" t="s">
        <v>0</v>
      </c>
      <c r="B166" s="5" t="s">
        <v>281</v>
      </c>
      <c r="C166" s="5" t="s">
        <v>137</v>
      </c>
      <c r="D166" s="5" t="s">
        <v>289</v>
      </c>
      <c r="E166" s="28">
        <v>-1.8737622065643218</v>
      </c>
      <c r="F166" s="28">
        <v>-3.0610013175230599</v>
      </c>
    </row>
    <row r="167" spans="1:6" x14ac:dyDescent="0.45">
      <c r="A167" s="5" t="s">
        <v>0</v>
      </c>
      <c r="B167" s="5" t="s">
        <v>281</v>
      </c>
      <c r="C167" s="5" t="s">
        <v>119</v>
      </c>
      <c r="D167" s="5" t="s">
        <v>290</v>
      </c>
      <c r="E167" s="28">
        <v>-2.0299090571113489</v>
      </c>
      <c r="F167" s="28">
        <v>-2.9410013175230598</v>
      </c>
    </row>
    <row r="168" spans="1:6" x14ac:dyDescent="0.45">
      <c r="A168" s="5" t="s">
        <v>0</v>
      </c>
      <c r="B168" s="5" t="s">
        <v>281</v>
      </c>
      <c r="C168" s="5" t="s">
        <v>133</v>
      </c>
      <c r="D168" s="5" t="s">
        <v>291</v>
      </c>
      <c r="E168" s="28">
        <v>-1.0670034787380165</v>
      </c>
      <c r="F168" s="28">
        <v>-3.68100131752306</v>
      </c>
    </row>
    <row r="169" spans="1:6" x14ac:dyDescent="0.45">
      <c r="A169" s="5" t="s">
        <v>0</v>
      </c>
      <c r="B169" s="5" t="s">
        <v>281</v>
      </c>
      <c r="C169" s="5" t="s">
        <v>331</v>
      </c>
      <c r="D169" s="5" t="s">
        <v>292</v>
      </c>
      <c r="E169" s="28">
        <v>-2.2771415704774745</v>
      </c>
      <c r="F169" s="28">
        <v>-2.7510013175230599</v>
      </c>
    </row>
    <row r="170" spans="1:6" x14ac:dyDescent="0.45">
      <c r="A170" s="5" t="s">
        <v>0</v>
      </c>
      <c r="B170" s="5" t="s">
        <v>281</v>
      </c>
      <c r="C170" s="5" t="s">
        <v>304</v>
      </c>
      <c r="D170" s="5" t="s">
        <v>293</v>
      </c>
      <c r="E170" s="28">
        <v>-2.5503985589347713</v>
      </c>
      <c r="F170" s="28">
        <v>-2.5410013175230599</v>
      </c>
    </row>
    <row r="171" spans="1:6" x14ac:dyDescent="0.45">
      <c r="A171" s="5" t="s">
        <v>0</v>
      </c>
      <c r="B171" s="5" t="s">
        <v>281</v>
      </c>
      <c r="C171" s="5" t="s">
        <v>125</v>
      </c>
      <c r="D171" s="5" t="s">
        <v>294</v>
      </c>
      <c r="E171" s="28">
        <v>-3.0448635856670228</v>
      </c>
      <c r="F171" s="28">
        <v>-2.16100131752306</v>
      </c>
    </row>
    <row r="172" spans="1:6" x14ac:dyDescent="0.45">
      <c r="A172" s="5" t="s">
        <v>0</v>
      </c>
      <c r="B172" s="5" t="s">
        <v>281</v>
      </c>
      <c r="C172" s="5" t="s">
        <v>117</v>
      </c>
      <c r="D172" s="5" t="s">
        <v>295</v>
      </c>
      <c r="E172" s="28">
        <v>-3.6174020376727878</v>
      </c>
      <c r="F172" s="28">
        <v>-1.7210013175230601</v>
      </c>
    </row>
    <row r="173" spans="1:6" x14ac:dyDescent="0.45">
      <c r="A173" s="5" t="s">
        <v>0</v>
      </c>
      <c r="B173" s="5" t="s">
        <v>281</v>
      </c>
      <c r="C173" s="5" t="s">
        <v>99</v>
      </c>
      <c r="D173" s="5" t="s">
        <v>296</v>
      </c>
      <c r="E173" s="28">
        <v>-86.778612191510149</v>
      </c>
      <c r="F173" s="28">
        <v>62.188998682476935</v>
      </c>
    </row>
    <row r="174" spans="1:6" ht="14.35" thickBot="1" x14ac:dyDescent="0.5">
      <c r="A174" s="9" t="s">
        <v>0</v>
      </c>
      <c r="B174" s="9" t="s">
        <v>281</v>
      </c>
      <c r="C174" s="9" t="s">
        <v>135</v>
      </c>
      <c r="D174" s="9" t="s">
        <v>297</v>
      </c>
      <c r="E174" s="29">
        <v>-149.62771953668846</v>
      </c>
      <c r="F174" s="29">
        <v>110.48899868247693</v>
      </c>
    </row>
    <row r="181" spans="4:5" x14ac:dyDescent="0.45">
      <c r="E181"/>
    </row>
    <row r="182" spans="4:5" x14ac:dyDescent="0.45">
      <c r="D182" s="28"/>
      <c r="E182"/>
    </row>
    <row r="185" spans="4:5" x14ac:dyDescent="0.45">
      <c r="D185" s="28"/>
    </row>
    <row r="186" spans="4:5" x14ac:dyDescent="0.45">
      <c r="D186" s="2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C2C8-9230-4528-8006-8680AA891B27}">
  <dimension ref="A1:C37"/>
  <sheetViews>
    <sheetView workbookViewId="0">
      <selection activeCell="B12" sqref="B12"/>
    </sheetView>
  </sheetViews>
  <sheetFormatPr defaultRowHeight="14" x14ac:dyDescent="0.45"/>
  <cols>
    <col min="1" max="1" width="18.8203125" customWidth="1"/>
    <col min="2" max="2" width="46.5859375" customWidth="1"/>
    <col min="3" max="3" width="74.234375" customWidth="1"/>
  </cols>
  <sheetData>
    <row r="1" spans="1:3" ht="14.35" thickBot="1" x14ac:dyDescent="0.5">
      <c r="A1" s="7" t="s">
        <v>392</v>
      </c>
    </row>
    <row r="2" spans="1:3" s="4" customFormat="1" ht="14.35" thickBot="1" x14ac:dyDescent="0.5">
      <c r="A2" s="35" t="s">
        <v>356</v>
      </c>
      <c r="B2" s="35"/>
      <c r="C2" s="35"/>
    </row>
    <row r="3" spans="1:3" s="4" customFormat="1" x14ac:dyDescent="0.45">
      <c r="A3" s="5" t="s">
        <v>357</v>
      </c>
      <c r="B3" s="5" t="s">
        <v>358</v>
      </c>
      <c r="C3" s="6" t="s">
        <v>359</v>
      </c>
    </row>
    <row r="4" spans="1:3" x14ac:dyDescent="0.45">
      <c r="A4" t="s">
        <v>360</v>
      </c>
      <c r="B4" t="s">
        <v>345</v>
      </c>
      <c r="C4" s="36" t="s">
        <v>370</v>
      </c>
    </row>
    <row r="5" spans="1:3" x14ac:dyDescent="0.45">
      <c r="A5" t="s">
        <v>361</v>
      </c>
      <c r="B5" t="s">
        <v>346</v>
      </c>
      <c r="C5" s="36"/>
    </row>
    <row r="6" spans="1:3" x14ac:dyDescent="0.45">
      <c r="A6" t="s">
        <v>362</v>
      </c>
      <c r="B6" t="s">
        <v>347</v>
      </c>
      <c r="C6" s="34"/>
    </row>
    <row r="7" spans="1:3" x14ac:dyDescent="0.45">
      <c r="A7" t="s">
        <v>363</v>
      </c>
      <c r="B7" t="s">
        <v>348</v>
      </c>
      <c r="C7" s="34"/>
    </row>
    <row r="8" spans="1:3" x14ac:dyDescent="0.45">
      <c r="A8" t="s">
        <v>364</v>
      </c>
      <c r="B8" t="s">
        <v>349</v>
      </c>
      <c r="C8" s="34"/>
    </row>
    <row r="9" spans="1:3" x14ac:dyDescent="0.45">
      <c r="A9" t="s">
        <v>365</v>
      </c>
      <c r="B9" t="s">
        <v>350</v>
      </c>
      <c r="C9" s="34"/>
    </row>
    <row r="10" spans="1:3" x14ac:dyDescent="0.45">
      <c r="A10" t="s">
        <v>366</v>
      </c>
      <c r="B10" t="s">
        <v>351</v>
      </c>
      <c r="C10" s="34"/>
    </row>
    <row r="11" spans="1:3" x14ac:dyDescent="0.45">
      <c r="A11" t="s">
        <v>367</v>
      </c>
      <c r="B11" t="s">
        <v>352</v>
      </c>
      <c r="C11" s="34"/>
    </row>
    <row r="12" spans="1:3" x14ac:dyDescent="0.45">
      <c r="A12" t="s">
        <v>368</v>
      </c>
      <c r="B12" t="s">
        <v>353</v>
      </c>
      <c r="C12" s="34"/>
    </row>
    <row r="13" spans="1:3" x14ac:dyDescent="0.45">
      <c r="A13" t="s">
        <v>369</v>
      </c>
      <c r="B13" t="s">
        <v>354</v>
      </c>
      <c r="C13" s="34"/>
    </row>
    <row r="14" spans="1:3" x14ac:dyDescent="0.45">
      <c r="A14" t="s">
        <v>450</v>
      </c>
      <c r="B14" t="s">
        <v>448</v>
      </c>
      <c r="C14" s="34"/>
    </row>
    <row r="15" spans="1:3" x14ac:dyDescent="0.45">
      <c r="A15" t="s">
        <v>451</v>
      </c>
      <c r="B15" t="s">
        <v>449</v>
      </c>
      <c r="C15" s="34"/>
    </row>
    <row r="16" spans="1:3" x14ac:dyDescent="0.45">
      <c r="A16" t="s">
        <v>454</v>
      </c>
      <c r="B16" t="s">
        <v>452</v>
      </c>
      <c r="C16" s="34"/>
    </row>
    <row r="17" spans="1:3" x14ac:dyDescent="0.45">
      <c r="A17" t="s">
        <v>455</v>
      </c>
      <c r="B17" t="s">
        <v>453</v>
      </c>
      <c r="C17" s="34"/>
    </row>
    <row r="18" spans="1:3" x14ac:dyDescent="0.45">
      <c r="A18" s="33" t="s">
        <v>383</v>
      </c>
      <c r="B18" s="33"/>
      <c r="C18" s="33"/>
    </row>
    <row r="19" spans="1:3" x14ac:dyDescent="0.45">
      <c r="A19" t="s">
        <v>372</v>
      </c>
      <c r="B19" t="s">
        <v>371</v>
      </c>
      <c r="C19" t="s">
        <v>384</v>
      </c>
    </row>
    <row r="20" spans="1:3" x14ac:dyDescent="0.45">
      <c r="A20" t="s">
        <v>373</v>
      </c>
      <c r="B20" t="s">
        <v>386</v>
      </c>
      <c r="C20" s="34" t="s">
        <v>440</v>
      </c>
    </row>
    <row r="21" spans="1:3" x14ac:dyDescent="0.45">
      <c r="A21" t="s">
        <v>374</v>
      </c>
      <c r="B21" t="s">
        <v>387</v>
      </c>
      <c r="C21" s="34"/>
    </row>
    <row r="22" spans="1:3" x14ac:dyDescent="0.45">
      <c r="A22" t="s">
        <v>375</v>
      </c>
      <c r="B22" t="s">
        <v>388</v>
      </c>
      <c r="C22" s="34" t="s">
        <v>441</v>
      </c>
    </row>
    <row r="23" spans="1:3" x14ac:dyDescent="0.45">
      <c r="A23" t="s">
        <v>376</v>
      </c>
      <c r="B23" t="s">
        <v>389</v>
      </c>
      <c r="C23" s="34"/>
    </row>
    <row r="24" spans="1:3" x14ac:dyDescent="0.45">
      <c r="A24" t="s">
        <v>377</v>
      </c>
      <c r="B24" t="s">
        <v>390</v>
      </c>
      <c r="C24" t="s">
        <v>380</v>
      </c>
    </row>
    <row r="25" spans="1:3" x14ac:dyDescent="0.45">
      <c r="A25" t="s">
        <v>378</v>
      </c>
      <c r="B25" t="s">
        <v>391</v>
      </c>
      <c r="C25" t="s">
        <v>379</v>
      </c>
    </row>
    <row r="26" spans="1:3" x14ac:dyDescent="0.45">
      <c r="A26" t="s">
        <v>381</v>
      </c>
      <c r="B26" t="s">
        <v>343</v>
      </c>
      <c r="C26" s="34" t="s">
        <v>385</v>
      </c>
    </row>
    <row r="27" spans="1:3" x14ac:dyDescent="0.45">
      <c r="A27" t="s">
        <v>382</v>
      </c>
      <c r="B27" t="s">
        <v>344</v>
      </c>
      <c r="C27" s="34"/>
    </row>
    <row r="28" spans="1:3" x14ac:dyDescent="0.45">
      <c r="A28" s="33" t="s">
        <v>430</v>
      </c>
      <c r="B28" s="33"/>
      <c r="C28" s="33"/>
    </row>
    <row r="29" spans="1:3" x14ac:dyDescent="0.45">
      <c r="A29" t="s">
        <v>431</v>
      </c>
      <c r="B29" t="s">
        <v>371</v>
      </c>
      <c r="C29" t="s">
        <v>438</v>
      </c>
    </row>
    <row r="30" spans="1:3" x14ac:dyDescent="0.45">
      <c r="A30" t="s">
        <v>432</v>
      </c>
      <c r="B30" t="s">
        <v>444</v>
      </c>
      <c r="C30" s="34" t="s">
        <v>442</v>
      </c>
    </row>
    <row r="31" spans="1:3" x14ac:dyDescent="0.45">
      <c r="A31" t="s">
        <v>433</v>
      </c>
      <c r="B31" t="s">
        <v>446</v>
      </c>
      <c r="C31" s="34"/>
    </row>
    <row r="32" spans="1:3" x14ac:dyDescent="0.45">
      <c r="A32" t="s">
        <v>434</v>
      </c>
      <c r="B32" t="s">
        <v>447</v>
      </c>
      <c r="C32" s="34" t="s">
        <v>443</v>
      </c>
    </row>
    <row r="33" spans="1:3" x14ac:dyDescent="0.45">
      <c r="A33" t="s">
        <v>435</v>
      </c>
      <c r="B33" t="s">
        <v>445</v>
      </c>
      <c r="C33" s="34"/>
    </row>
    <row r="34" spans="1:3" x14ac:dyDescent="0.45">
      <c r="A34" t="s">
        <v>436</v>
      </c>
      <c r="B34" t="s">
        <v>444</v>
      </c>
      <c r="C34" s="34" t="s">
        <v>439</v>
      </c>
    </row>
    <row r="35" spans="1:3" x14ac:dyDescent="0.45">
      <c r="A35" t="s">
        <v>437</v>
      </c>
      <c r="B35" t="s">
        <v>445</v>
      </c>
      <c r="C35" s="34"/>
    </row>
    <row r="36" spans="1:3" x14ac:dyDescent="0.45">
      <c r="A36" s="32" t="s">
        <v>429</v>
      </c>
      <c r="B36" s="33"/>
      <c r="C36" s="33"/>
    </row>
    <row r="37" spans="1:3" ht="14.35" thickBot="1" x14ac:dyDescent="0.5">
      <c r="A37" s="1" t="s">
        <v>428</v>
      </c>
      <c r="B37" s="1" t="s">
        <v>427</v>
      </c>
      <c r="C37" s="1"/>
    </row>
  </sheetData>
  <mergeCells count="11">
    <mergeCell ref="A2:C2"/>
    <mergeCell ref="C20:C21"/>
    <mergeCell ref="C22:C23"/>
    <mergeCell ref="C26:C27"/>
    <mergeCell ref="A18:C18"/>
    <mergeCell ref="C4:C17"/>
    <mergeCell ref="A36:C36"/>
    <mergeCell ref="A28:C28"/>
    <mergeCell ref="C34:C35"/>
    <mergeCell ref="C30:C31"/>
    <mergeCell ref="C32:C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S3A</vt:lpstr>
      <vt:lpstr>S3B</vt:lpstr>
      <vt:lpstr>S3C</vt:lpstr>
      <vt:lpstr>S3D</vt:lpstr>
      <vt:lpstr>S3E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shuo feng</cp:lastModifiedBy>
  <dcterms:created xsi:type="dcterms:W3CDTF">2024-10-18T00:27:35Z</dcterms:created>
  <dcterms:modified xsi:type="dcterms:W3CDTF">2024-12-25T12:32:10Z</dcterms:modified>
</cp:coreProperties>
</file>